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0 -Mermisi-main\Journals\"/>
    </mc:Choice>
  </mc:AlternateContent>
  <bookViews>
    <workbookView xWindow="0" yWindow="0" windowWidth="15360" windowHeight="775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<sst xmlns="http://schemas.openxmlformats.org/spreadsheetml/2006/main" count="60" uniqueCount="40">
  <si>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</si>
  <si>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</si>
  <si>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</si>
  <si>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</si>
  <si>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</si>
  <si>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</si>
  <si>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</si>
  <si>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</si>
  <si>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</si>
  <si>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</si>
  <si>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</si>
  <si>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</si>
  <si>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</si>
  <si>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</si>
  <si>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</si>
  <si>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</si>
  <si>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</si>
  <si>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</si>
  <si>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</si>
  <si>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</si>
  <si>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</si>
  <si>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</si>
  <si>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</si>
  <si>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</si>
  <si>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</si>
  <si>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</si>
  <si>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</si>
  <si>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</si>
  <si>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</si>
  <si>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</si>
  <si>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</si>
  <si>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</si>
  <si>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</si>
  <si>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</si>
  <si>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</si>
  <si>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</si>
  <si>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</si>
  <si>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</si>
  <si>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</si>
  <si>
    <t>თვე დამთავრდა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</si>
</sst>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3" borderId="0" xfId="0" applyFill="1"/>
    <xf numFmtId="0" fontId="12" fillId="2" borderId="0" xfId="0" applyFont="1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4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14" fontId="2" fillId="6" borderId="7" xfId="0" applyNumberFormat="1" applyFont="1" applyFill="1" applyBorder="1" applyAlignment="1">
      <alignment horizontal="center" vertical="center" textRotation="90"/>
    </xf>
    <xf numFmtId="14" fontId="2" fillId="6" borderId="11" xfId="0" applyNumberFormat="1" applyFont="1" applyFill="1" applyBorder="1" applyAlignment="1">
      <alignment horizontal="center" vertical="center" textRotation="90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4" borderId="7" xfId="0" applyNumberFormat="1" applyFont="1" applyFill="1" applyBorder="1" applyAlignment="1">
      <alignment horizontal="center" vertical="center" textRotation="90"/>
    </xf>
    <xf numFmtId="14" fontId="2" fillId="4" borderId="11" xfId="0" applyNumberFormat="1" applyFont="1" applyFill="1" applyBorder="1" applyAlignment="1">
      <alignment horizontal="center" vertical="center" textRotation="90"/>
    </xf>
    <xf numFmtId="14" fontId="2" fillId="3" borderId="7" xfId="0" applyNumberFormat="1" applyFont="1" applyFill="1" applyBorder="1" applyAlignment="1">
      <alignment horizontal="center" vertical="center" textRotation="90"/>
    </xf>
    <xf numFmtId="14" fontId="2" fillId="3" borderId="11" xfId="0" applyNumberFormat="1" applyFont="1" applyFill="1" applyBorder="1" applyAlignment="1">
      <alignment horizontal="center" vertical="center" textRotation="90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0" fillId="7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topLeftCell="C1" zoomScaleNormal="100" workbookViewId="0">
      <selection activeCell="AA12" sqref="AA12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39" t="s">
        <v>27</v>
      </c>
      <c r="B1" s="40"/>
      <c r="C1" s="40"/>
      <c r="D1" s="41"/>
      <c r="F1" s="25">
        <v>7</v>
      </c>
      <c r="G1" s="54"/>
      <c r="H1" s="26"/>
      <c r="I1" s="22">
        <v>1</v>
      </c>
      <c r="J1" s="25">
        <v>2</v>
      </c>
      <c r="K1" s="26"/>
      <c r="L1" s="25">
        <v>2</v>
      </c>
      <c r="M1" s="26"/>
      <c r="N1" s="25">
        <v>2</v>
      </c>
      <c r="O1" s="26"/>
      <c r="P1" s="25">
        <v>2</v>
      </c>
      <c r="Q1" s="26"/>
      <c r="R1" s="25">
        <v>2</v>
      </c>
      <c r="S1" s="26"/>
      <c r="T1" s="25">
        <v>2</v>
      </c>
      <c r="U1" s="26"/>
      <c r="V1" s="25">
        <v>2</v>
      </c>
      <c r="W1" s="26"/>
      <c r="X1" s="25">
        <v>2</v>
      </c>
      <c r="Y1" s="26"/>
      <c r="Z1" s="25">
        <v>2</v>
      </c>
      <c r="AA1" s="26"/>
      <c r="AB1" s="21"/>
      <c r="AC1" s="21"/>
      <c r="AD1" s="25">
        <v>2</v>
      </c>
      <c r="AE1" s="26"/>
      <c r="AF1" s="25">
        <v>2</v>
      </c>
      <c r="AG1" s="26"/>
      <c r="AH1" s="25">
        <v>2</v>
      </c>
      <c r="AI1" s="26"/>
      <c r="AJ1" s="25">
        <v>2</v>
      </c>
      <c r="AK1" s="26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">
        <f>SUM(F1:BW1)</f>
        <v>34</v>
      </c>
    </row>
    <row r="2" spans="1:76" ht="11.25" customHeight="1" x14ac:dyDescent="0.25">
      <c r="A2" s="42"/>
      <c r="B2" s="43"/>
      <c r="C2" s="43"/>
      <c r="D2" s="44"/>
      <c r="E2" s="45" t="s">
        <v>0</v>
      </c>
      <c r="F2" s="23">
        <v>46274</v>
      </c>
      <c r="G2" s="23">
        <v>46274</v>
      </c>
      <c r="H2" s="23">
        <v>46274</v>
      </c>
      <c r="I2" s="23">
        <v>46276</v>
      </c>
      <c r="J2" s="23">
        <v>46279</v>
      </c>
      <c r="K2" s="23">
        <v>46279</v>
      </c>
      <c r="L2" s="23" t="s">
        <v>38</v>
      </c>
      <c r="M2" s="23" t="s">
        <v>38</v>
      </c>
      <c r="N2" s="23">
        <v>46286</v>
      </c>
      <c r="O2" s="23">
        <v>46286</v>
      </c>
      <c r="P2" s="23">
        <v>46290</v>
      </c>
      <c r="Q2" s="23">
        <v>46290</v>
      </c>
      <c r="R2" s="65">
        <v>46293</v>
      </c>
      <c r="S2" s="65">
        <v>46293</v>
      </c>
      <c r="T2" s="23">
        <v>46297</v>
      </c>
      <c r="U2" s="23">
        <v>46297</v>
      </c>
      <c r="V2" s="29">
        <v>46300</v>
      </c>
      <c r="W2" s="29">
        <v>46300</v>
      </c>
      <c r="X2" s="23">
        <v>46304</v>
      </c>
      <c r="Y2" s="23">
        <v>46304</v>
      </c>
      <c r="Z2" s="23">
        <v>46307</v>
      </c>
      <c r="AA2" s="23">
        <v>46307</v>
      </c>
      <c r="AB2" s="31">
        <v>46311</v>
      </c>
      <c r="AC2" s="31">
        <v>46311</v>
      </c>
      <c r="AD2" s="23">
        <v>46314</v>
      </c>
      <c r="AE2" s="23">
        <v>46314</v>
      </c>
      <c r="AF2" s="23">
        <v>46318</v>
      </c>
      <c r="AG2" s="23">
        <v>46318</v>
      </c>
      <c r="AH2" s="23">
        <v>46321</v>
      </c>
      <c r="AI2" s="23">
        <v>46321</v>
      </c>
      <c r="AJ2" s="65">
        <v>46325</v>
      </c>
      <c r="AK2" s="65">
        <v>46325</v>
      </c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</row>
    <row r="3" spans="1:76" ht="27" customHeight="1" x14ac:dyDescent="0.25">
      <c r="A3" s="36" t="s">
        <v>36</v>
      </c>
      <c r="B3" s="36"/>
      <c r="C3" s="36"/>
      <c r="D3" s="36"/>
      <c r="E3" s="46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65"/>
      <c r="S3" s="65"/>
      <c r="T3" s="23"/>
      <c r="U3" s="23"/>
      <c r="V3" s="29"/>
      <c r="W3" s="29"/>
      <c r="X3" s="23"/>
      <c r="Y3" s="23"/>
      <c r="Z3" s="23"/>
      <c r="AA3" s="23"/>
      <c r="AB3" s="31"/>
      <c r="AC3" s="31"/>
      <c r="AD3" s="23"/>
      <c r="AE3" s="23"/>
      <c r="AF3" s="23"/>
      <c r="AG3" s="23"/>
      <c r="AH3" s="23"/>
      <c r="AI3" s="23"/>
      <c r="AJ3" s="65"/>
      <c r="AK3" s="65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</row>
    <row r="4" spans="1:76" ht="24.75" customHeight="1" x14ac:dyDescent="0.25">
      <c r="A4" s="48" t="s">
        <v>1</v>
      </c>
      <c r="B4" s="48"/>
      <c r="C4" s="49" t="s">
        <v>2</v>
      </c>
      <c r="D4" s="35"/>
      <c r="E4" s="46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65"/>
      <c r="S4" s="65"/>
      <c r="T4" s="23"/>
      <c r="U4" s="23"/>
      <c r="V4" s="29"/>
      <c r="W4" s="29"/>
      <c r="X4" s="23"/>
      <c r="Y4" s="23"/>
      <c r="Z4" s="23"/>
      <c r="AA4" s="23"/>
      <c r="AB4" s="31"/>
      <c r="AC4" s="31"/>
      <c r="AD4" s="23"/>
      <c r="AE4" s="23"/>
      <c r="AF4" s="23"/>
      <c r="AG4" s="23"/>
      <c r="AH4" s="23"/>
      <c r="AI4" s="23"/>
      <c r="AJ4" s="65"/>
      <c r="AK4" s="65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</row>
    <row r="5" spans="1:76" ht="16.5" customHeight="1" x14ac:dyDescent="0.25">
      <c r="A5" s="50" t="s">
        <v>3</v>
      </c>
      <c r="B5" s="50"/>
      <c r="C5" s="51">
        <v>60</v>
      </c>
      <c r="D5" s="52"/>
      <c r="E5" s="46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65"/>
      <c r="S5" s="65"/>
      <c r="T5" s="23"/>
      <c r="U5" s="23"/>
      <c r="V5" s="29"/>
      <c r="W5" s="29"/>
      <c r="X5" s="23"/>
      <c r="Y5" s="23"/>
      <c r="Z5" s="23"/>
      <c r="AA5" s="23"/>
      <c r="AB5" s="31"/>
      <c r="AC5" s="31"/>
      <c r="AD5" s="23"/>
      <c r="AE5" s="23"/>
      <c r="AF5" s="23"/>
      <c r="AG5" s="23"/>
      <c r="AH5" s="23"/>
      <c r="AI5" s="23"/>
      <c r="AJ5" s="65"/>
      <c r="AK5" s="65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</row>
    <row r="6" spans="1:76" ht="16.5" customHeight="1" x14ac:dyDescent="0.25">
      <c r="A6" s="50" t="s">
        <v>4</v>
      </c>
      <c r="B6" s="50"/>
      <c r="C6" s="51">
        <v>4</v>
      </c>
      <c r="D6" s="52"/>
      <c r="E6" s="46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65"/>
      <c r="S6" s="65"/>
      <c r="T6" s="23"/>
      <c r="U6" s="23"/>
      <c r="V6" s="29"/>
      <c r="W6" s="29"/>
      <c r="X6" s="23"/>
      <c r="Y6" s="23"/>
      <c r="Z6" s="23"/>
      <c r="AA6" s="23"/>
      <c r="AB6" s="31"/>
      <c r="AC6" s="31"/>
      <c r="AD6" s="23"/>
      <c r="AE6" s="23"/>
      <c r="AF6" s="23"/>
      <c r="AG6" s="23"/>
      <c r="AH6" s="23"/>
      <c r="AI6" s="23"/>
      <c r="AJ6" s="65"/>
      <c r="AK6" s="65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</row>
    <row r="7" spans="1:76" ht="16.5" customHeight="1" x14ac:dyDescent="0.25">
      <c r="A7" s="53" t="s">
        <v>5</v>
      </c>
      <c r="B7" s="53"/>
      <c r="C7" s="51">
        <v>11</v>
      </c>
      <c r="D7" s="52"/>
      <c r="E7" s="47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66"/>
      <c r="S7" s="66"/>
      <c r="T7" s="24"/>
      <c r="U7" s="24"/>
      <c r="V7" s="30"/>
      <c r="W7" s="30"/>
      <c r="X7" s="24"/>
      <c r="Y7" s="24"/>
      <c r="Z7" s="24"/>
      <c r="AA7" s="24"/>
      <c r="AB7" s="32"/>
      <c r="AC7" s="32"/>
      <c r="AD7" s="24"/>
      <c r="AE7" s="24"/>
      <c r="AF7" s="24"/>
      <c r="AG7" s="24"/>
      <c r="AH7" s="24"/>
      <c r="AI7" s="24"/>
      <c r="AJ7" s="66"/>
      <c r="AK7" s="66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</row>
    <row r="8" spans="1:76" ht="24" customHeight="1" x14ac:dyDescent="0.25">
      <c r="A8" s="33" t="s">
        <v>6</v>
      </c>
      <c r="B8" s="33"/>
      <c r="C8" s="34">
        <f>SUM(C5:D7)</f>
        <v>75</v>
      </c>
      <c r="D8" s="35"/>
      <c r="E8" s="3"/>
      <c r="F8" s="27">
        <v>1</v>
      </c>
      <c r="G8" s="27">
        <v>2</v>
      </c>
      <c r="H8" s="27">
        <v>3</v>
      </c>
      <c r="I8" s="27">
        <v>4</v>
      </c>
      <c r="J8" s="27">
        <v>5</v>
      </c>
      <c r="K8" s="27">
        <v>6</v>
      </c>
      <c r="L8" s="27">
        <v>7</v>
      </c>
      <c r="M8" s="27">
        <v>8</v>
      </c>
      <c r="N8" s="27">
        <v>9</v>
      </c>
      <c r="O8" s="27">
        <v>10</v>
      </c>
      <c r="P8" s="27">
        <v>11</v>
      </c>
      <c r="Q8" s="27">
        <v>12</v>
      </c>
      <c r="R8" s="27">
        <v>13</v>
      </c>
      <c r="S8" s="27">
        <v>14</v>
      </c>
      <c r="T8" s="27">
        <v>15</v>
      </c>
      <c r="U8" s="27">
        <v>16</v>
      </c>
      <c r="V8" s="27">
        <v>17</v>
      </c>
      <c r="W8" s="27">
        <v>18</v>
      </c>
      <c r="X8" s="27">
        <v>19</v>
      </c>
      <c r="Y8" s="27">
        <v>20</v>
      </c>
      <c r="Z8" s="27">
        <v>21</v>
      </c>
      <c r="AA8" s="27">
        <v>22</v>
      </c>
      <c r="AB8" s="27">
        <v>23</v>
      </c>
      <c r="AC8" s="27">
        <v>24</v>
      </c>
      <c r="AD8" s="27">
        <v>25</v>
      </c>
      <c r="AE8" s="27">
        <v>26</v>
      </c>
      <c r="AF8" s="27">
        <v>27</v>
      </c>
      <c r="AG8" s="27">
        <v>28</v>
      </c>
      <c r="AH8" s="27">
        <v>29</v>
      </c>
      <c r="AI8" s="27">
        <v>30</v>
      </c>
      <c r="AJ8" s="27">
        <v>31</v>
      </c>
      <c r="AK8" s="27">
        <v>32</v>
      </c>
      <c r="AL8" s="27">
        <v>33</v>
      </c>
      <c r="AM8" s="27">
        <v>34</v>
      </c>
      <c r="AN8" s="27">
        <v>35</v>
      </c>
      <c r="AO8" s="27">
        <v>36</v>
      </c>
      <c r="AP8" s="27">
        <v>37</v>
      </c>
      <c r="AQ8" s="27">
        <v>38</v>
      </c>
      <c r="AR8" s="27">
        <v>39</v>
      </c>
      <c r="AS8" s="27">
        <v>40</v>
      </c>
      <c r="AT8" s="27">
        <v>41</v>
      </c>
      <c r="AU8" s="27">
        <v>42</v>
      </c>
      <c r="AV8" s="27">
        <v>43</v>
      </c>
      <c r="AW8" s="27">
        <v>44</v>
      </c>
      <c r="AX8" s="27">
        <v>45</v>
      </c>
      <c r="AY8" s="27">
        <v>46</v>
      </c>
      <c r="AZ8" s="27">
        <v>47</v>
      </c>
      <c r="BA8" s="27">
        <v>48</v>
      </c>
      <c r="BB8" s="27">
        <v>49</v>
      </c>
      <c r="BC8" s="27">
        <v>50</v>
      </c>
      <c r="BD8" s="27">
        <v>51</v>
      </c>
      <c r="BE8" s="27">
        <v>52</v>
      </c>
      <c r="BF8" s="27">
        <v>53</v>
      </c>
      <c r="BG8" s="27">
        <v>54</v>
      </c>
      <c r="BH8" s="27">
        <v>55</v>
      </c>
      <c r="BI8" s="27">
        <v>56</v>
      </c>
      <c r="BJ8" s="27">
        <v>57</v>
      </c>
      <c r="BK8" s="27">
        <v>58</v>
      </c>
      <c r="BL8" s="27">
        <v>59</v>
      </c>
      <c r="BM8" s="27">
        <v>60</v>
      </c>
      <c r="BN8" s="27">
        <v>61</v>
      </c>
      <c r="BO8" s="27">
        <v>62</v>
      </c>
      <c r="BP8" s="27">
        <v>63</v>
      </c>
      <c r="BQ8" s="27">
        <v>64</v>
      </c>
      <c r="BR8" s="27">
        <v>65</v>
      </c>
      <c r="BS8" s="27">
        <v>66</v>
      </c>
      <c r="BT8" s="27">
        <v>67</v>
      </c>
      <c r="BU8" s="27">
        <v>68</v>
      </c>
      <c r="BV8" s="27">
        <v>69</v>
      </c>
      <c r="BW8" s="27">
        <v>70</v>
      </c>
    </row>
    <row r="9" spans="1:76" ht="16.5" customHeight="1" x14ac:dyDescent="0.25">
      <c r="A9" s="36" t="s">
        <v>7</v>
      </c>
      <c r="B9" s="37" t="s">
        <v>8</v>
      </c>
      <c r="C9" s="38" t="s">
        <v>9</v>
      </c>
      <c r="D9" s="37"/>
      <c r="E9" s="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</row>
    <row r="10" spans="1:76" ht="16.5" customHeight="1" x14ac:dyDescent="0.25">
      <c r="A10" s="36"/>
      <c r="B10" s="37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8</v>
      </c>
      <c r="E11" s="14">
        <f>D11/C5</f>
        <v>0.13333333333333333</v>
      </c>
      <c r="F11" s="3"/>
      <c r="G11" s="3"/>
      <c r="H11" s="3" t="s">
        <v>37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>
        <v>0</v>
      </c>
      <c r="S11" s="3">
        <v>0</v>
      </c>
      <c r="T11" s="3">
        <v>0</v>
      </c>
      <c r="U11" s="3">
        <v>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15</v>
      </c>
      <c r="E12" s="14">
        <f>D12/C5</f>
        <v>0.25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14</v>
      </c>
      <c r="E13" s="14">
        <f>D13/C5</f>
        <v>0.23333333333333334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15</v>
      </c>
      <c r="E14" s="14">
        <f>D14/C5</f>
        <v>0.25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15</v>
      </c>
      <c r="E15" s="14">
        <f>D15/C5</f>
        <v>0.25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10</v>
      </c>
      <c r="E16" s="14">
        <f>D16/C5</f>
        <v>0.16666666666666666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5</v>
      </c>
      <c r="E17" s="14">
        <f>D17/C5</f>
        <v>8.3333333333333329E-2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>
        <v>0</v>
      </c>
      <c r="Y17" s="3">
        <v>0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13</v>
      </c>
      <c r="E18" s="14">
        <f>D18/C5</f>
        <v>0.21666666666666667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34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</row>
    <row r="27" spans="1:75" ht="16.5" customHeight="1" x14ac:dyDescent="0.25"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5"/>
      <c r="BU27" s="55"/>
      <c r="BV27" s="55"/>
      <c r="BW27" s="55"/>
    </row>
    <row r="28" spans="1:75" ht="16.5" customHeight="1" x14ac:dyDescent="0.25">
      <c r="F28" s="1">
        <v>4</v>
      </c>
    </row>
    <row r="29" spans="1:75" ht="16.5" customHeight="1" x14ac:dyDescent="0.25">
      <c r="E29" s="20">
        <f>SUM(E11:E18)/8</f>
        <v>0.19791666666666669</v>
      </c>
      <c r="AJ29" s="15"/>
      <c r="AK29" s="16" t="s">
        <v>28</v>
      </c>
    </row>
    <row r="30" spans="1:75" ht="16.5" customHeight="1" x14ac:dyDescent="0.25">
      <c r="AJ30" s="19"/>
      <c r="AK30" s="1" t="s">
        <v>35</v>
      </c>
    </row>
    <row r="31" spans="1:75" ht="16.5" customHeight="1" x14ac:dyDescent="0.25">
      <c r="AJ31" s="67"/>
      <c r="AK31" s="1" t="s">
        <v>39</v>
      </c>
    </row>
  </sheetData>
  <mergeCells count="174"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M8:M9"/>
    <mergeCell ref="E26:BW26"/>
    <mergeCell ref="BU8:BU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L1:M1"/>
    <mergeCell ref="M2:M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BQ2:BQ7"/>
    <mergeCell ref="AX2:AX7"/>
    <mergeCell ref="AY2:AY7"/>
    <mergeCell ref="AZ2:AZ7"/>
    <mergeCell ref="AV8:AV9"/>
    <mergeCell ref="AU8:AU9"/>
    <mergeCell ref="AQ8:AQ9"/>
    <mergeCell ref="AR8:AR9"/>
    <mergeCell ref="AS8:AS9"/>
    <mergeCell ref="AT8:AT9"/>
    <mergeCell ref="AM2:AM7"/>
    <mergeCell ref="AS2:AS7"/>
    <mergeCell ref="AT2:AT7"/>
    <mergeCell ref="AU2:AU7"/>
    <mergeCell ref="AV2:AV7"/>
    <mergeCell ref="AW2:AW7"/>
    <mergeCell ref="AN2:AN7"/>
    <mergeCell ref="AO2:AO7"/>
    <mergeCell ref="AR2:AR7"/>
    <mergeCell ref="AQ2:AQ7"/>
    <mergeCell ref="AP2:AP7"/>
    <mergeCell ref="P8:P9"/>
    <mergeCell ref="Q8:Q9"/>
    <mergeCell ref="R8:R9"/>
    <mergeCell ref="AF8:AF9"/>
    <mergeCell ref="AG8:AG9"/>
    <mergeCell ref="AH8:AH9"/>
    <mergeCell ref="AI8:AI9"/>
    <mergeCell ref="AK2:AK7"/>
    <mergeCell ref="AL2:AL7"/>
    <mergeCell ref="AJ8:AJ9"/>
    <mergeCell ref="AK8:AK9"/>
    <mergeCell ref="AL8:AL9"/>
    <mergeCell ref="AM8:AM9"/>
    <mergeCell ref="S8:S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P1:Q1"/>
    <mergeCell ref="N1:O1"/>
    <mergeCell ref="Y2:Y7"/>
    <mergeCell ref="U2:U7"/>
    <mergeCell ref="V2:V7"/>
    <mergeCell ref="W2:W7"/>
    <mergeCell ref="X2:X7"/>
    <mergeCell ref="Z2:Z7"/>
    <mergeCell ref="AA2:AA7"/>
    <mergeCell ref="AB2:AB7"/>
    <mergeCell ref="AC2:AC7"/>
    <mergeCell ref="T1:U1"/>
    <mergeCell ref="T8:T9"/>
    <mergeCell ref="U8:U9"/>
    <mergeCell ref="N2:N7"/>
    <mergeCell ref="O2:O7"/>
    <mergeCell ref="P2:P7"/>
    <mergeCell ref="Q2:Q7"/>
    <mergeCell ref="R2:R7"/>
    <mergeCell ref="S2:S7"/>
    <mergeCell ref="T2:T7"/>
    <mergeCell ref="N8:N9"/>
    <mergeCell ref="O8:O9"/>
    <mergeCell ref="AJ2:AJ7"/>
    <mergeCell ref="AG2:AG7"/>
    <mergeCell ref="AF2:AF7"/>
    <mergeCell ref="Z1:AA1"/>
    <mergeCell ref="V1:W1"/>
    <mergeCell ref="R1:S1"/>
    <mergeCell ref="AF1:AG1"/>
    <mergeCell ref="AH1:AI1"/>
    <mergeCell ref="AD2:AD7"/>
    <mergeCell ref="AE2:AE7"/>
    <mergeCell ref="AH2:AH7"/>
    <mergeCell ref="AI2:AI7"/>
    <mergeCell ref="AD1:AE1"/>
    <mergeCell ref="X1:Y1"/>
    <mergeCell ref="AJ1:AK1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8"/>
      <c r="C2" s="58"/>
      <c r="D2" s="57" t="s">
        <v>34</v>
      </c>
      <c r="E2" s="57"/>
      <c r="F2" s="57"/>
      <c r="G2" s="57"/>
      <c r="H2" s="57"/>
    </row>
    <row r="3" spans="1:8" x14ac:dyDescent="0.25">
      <c r="A3" s="36" t="s">
        <v>7</v>
      </c>
      <c r="B3" s="59" t="s">
        <v>8</v>
      </c>
      <c r="C3" s="60"/>
      <c r="D3" s="63" t="s">
        <v>29</v>
      </c>
      <c r="E3" s="56" t="s">
        <v>30</v>
      </c>
      <c r="F3" s="56" t="s">
        <v>33</v>
      </c>
      <c r="G3" s="56" t="s">
        <v>31</v>
      </c>
      <c r="H3" s="57" t="s">
        <v>32</v>
      </c>
    </row>
    <row r="4" spans="1:8" x14ac:dyDescent="0.25">
      <c r="A4" s="36"/>
      <c r="B4" s="61"/>
      <c r="C4" s="62"/>
      <c r="D4" s="64"/>
      <c r="E4" s="56"/>
      <c r="F4" s="56"/>
      <c r="G4" s="56"/>
      <c r="H4" s="57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7">
        <f>COUNTIF(cms!F11:G11,0)</f>
        <v>0</v>
      </c>
      <c r="E5" s="17">
        <f>COUNTIF(cms!H11:Y11,0)</f>
        <v>8</v>
      </c>
      <c r="F5" s="17">
        <f>COUNTIF(cms!Z11:AY11,0)</f>
        <v>0</v>
      </c>
      <c r="G5" s="17">
        <f>COUNTIF(cms!AZ11:BU11,0)</f>
        <v>0</v>
      </c>
      <c r="H5" s="18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7">
        <f>COUNTIF(cms!F12:G12,0)</f>
        <v>2</v>
      </c>
      <c r="E6" s="17">
        <f>COUNTIF(cms!H12:Y12,0)</f>
        <v>13</v>
      </c>
      <c r="F6" s="17">
        <f>COUNTIF(cms!Z12:AY12,0)</f>
        <v>0</v>
      </c>
      <c r="G6" s="17">
        <f>COUNTIF(cms!AZ12:BU12,0)</f>
        <v>0</v>
      </c>
      <c r="H6" s="18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7">
        <f>COUNTIF(cms!F13:G13,0)</f>
        <v>2</v>
      </c>
      <c r="E7" s="17">
        <f>COUNTIF(cms!H13:Y13,0)</f>
        <v>12</v>
      </c>
      <c r="F7" s="17">
        <f>COUNTIF(cms!Z13:AY13,0)</f>
        <v>0</v>
      </c>
      <c r="G7" s="17">
        <f>COUNTIF(cms!AZ13:BU13,0)</f>
        <v>0</v>
      </c>
      <c r="H7" s="18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7">
        <f>COUNTIF(cms!F14:G14,0)</f>
        <v>2</v>
      </c>
      <c r="E8" s="17">
        <f>COUNTIF(cms!H14:Y14,0)</f>
        <v>13</v>
      </c>
      <c r="F8" s="17">
        <f>COUNTIF(cms!Z14:AY14,0)</f>
        <v>0</v>
      </c>
      <c r="G8" s="17">
        <f>COUNTIF(cms!AZ14:BU14,0)</f>
        <v>0</v>
      </c>
      <c r="H8" s="18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7">
        <f>COUNTIF(cms!F15:G15,0)</f>
        <v>2</v>
      </c>
      <c r="E9" s="17">
        <f>COUNTIF(cms!H15:Y15,0)</f>
        <v>13</v>
      </c>
      <c r="F9" s="17">
        <f>COUNTIF(cms!Z15:AY15,0)</f>
        <v>0</v>
      </c>
      <c r="G9" s="17">
        <f>COUNTIF(cms!AZ15:BU15,0)</f>
        <v>0</v>
      </c>
      <c r="H9" s="18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7">
        <f>COUNTIF(cms!F16:G16,0)</f>
        <v>0</v>
      </c>
      <c r="E10" s="17">
        <f>COUNTIF(cms!H16:Y16,0)</f>
        <v>10</v>
      </c>
      <c r="F10" s="17">
        <f>COUNTIF(cms!Z16:AY16,0)</f>
        <v>0</v>
      </c>
      <c r="G10" s="17">
        <f>COUNTIF(cms!AZ16:BU16,0)</f>
        <v>0</v>
      </c>
      <c r="H10" s="18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7">
        <f>COUNTIF(cms!F17:G17,0)</f>
        <v>0</v>
      </c>
      <c r="E11" s="17">
        <f>COUNTIF(cms!H17:Y17,0)</f>
        <v>5</v>
      </c>
      <c r="F11" s="17">
        <f>COUNTIF(cms!Z17:AY17,0)</f>
        <v>0</v>
      </c>
      <c r="G11" s="17">
        <f>COUNTIF(cms!AZ17:BU17,0)</f>
        <v>0</v>
      </c>
      <c r="H11" s="18"/>
    </row>
    <row r="12" spans="1:8" x14ac:dyDescent="0.25">
      <c r="A12" s="9">
        <v>11</v>
      </c>
      <c r="B12" s="13" t="s">
        <v>26</v>
      </c>
      <c r="C12" s="13" t="s">
        <v>15</v>
      </c>
      <c r="D12" s="17">
        <f>COUNTIF(cms!F18:G18,0)</f>
        <v>0</v>
      </c>
      <c r="E12" s="17">
        <f>COUNTIF(cms!H18:Y18,0)</f>
        <v>13</v>
      </c>
      <c r="F12" s="17">
        <f>COUNTIF(cms!Z18:AY18,0)</f>
        <v>0</v>
      </c>
      <c r="G12" s="17">
        <f>COUNTIF(cms!AZ18:BU18,0)</f>
        <v>0</v>
      </c>
      <c r="H12" s="18"/>
    </row>
    <row r="13" spans="1:8" x14ac:dyDescent="0.25">
      <c r="A13" s="9">
        <v>11</v>
      </c>
      <c r="B13" s="10"/>
      <c r="C13" s="10"/>
      <c r="D13" s="18"/>
      <c r="E13" s="18"/>
      <c r="F13" s="18"/>
      <c r="G13" s="18"/>
      <c r="H13" s="18"/>
    </row>
    <row r="14" spans="1:8" x14ac:dyDescent="0.25">
      <c r="A14" s="9">
        <v>12</v>
      </c>
      <c r="B14" s="13"/>
      <c r="C14" s="10"/>
      <c r="D14" s="18"/>
      <c r="E14" s="18"/>
      <c r="F14" s="18"/>
      <c r="G14" s="18"/>
      <c r="H14" s="18"/>
    </row>
    <row r="15" spans="1:8" x14ac:dyDescent="0.25">
      <c r="A15" s="9">
        <v>13</v>
      </c>
      <c r="B15" s="10"/>
      <c r="C15" s="10"/>
      <c r="D15" s="18"/>
      <c r="E15" s="18"/>
      <c r="F15" s="18"/>
      <c r="G15" s="18"/>
      <c r="H15" s="18"/>
    </row>
    <row r="16" spans="1:8" x14ac:dyDescent="0.25">
      <c r="A16" s="9">
        <v>14</v>
      </c>
      <c r="B16" s="10"/>
      <c r="C16" s="10"/>
      <c r="D16" s="18"/>
      <c r="E16" s="18"/>
      <c r="F16" s="18"/>
      <c r="G16" s="18"/>
      <c r="H16" s="18"/>
    </row>
    <row r="17" spans="1:8" x14ac:dyDescent="0.25">
      <c r="A17" s="9">
        <v>15</v>
      </c>
      <c r="B17" s="10"/>
      <c r="C17" s="10"/>
      <c r="D17" s="18"/>
      <c r="E17" s="18"/>
      <c r="F17" s="18"/>
      <c r="G17" s="18"/>
      <c r="H17" s="18"/>
    </row>
    <row r="18" spans="1:8" x14ac:dyDescent="0.25">
      <c r="A18" s="9">
        <v>16</v>
      </c>
      <c r="B18" s="10"/>
      <c r="C18" s="10"/>
      <c r="D18" s="18"/>
      <c r="E18" s="18"/>
      <c r="F18" s="18"/>
      <c r="G18" s="18"/>
      <c r="H18" s="18"/>
    </row>
    <row r="19" spans="1:8" x14ac:dyDescent="0.25">
      <c r="A19" s="9">
        <v>17</v>
      </c>
      <c r="B19" s="10"/>
      <c r="C19" s="10"/>
      <c r="D19" s="18"/>
      <c r="E19" s="18"/>
      <c r="F19" s="18"/>
      <c r="G19" s="18"/>
      <c r="H19" s="18"/>
    </row>
    <row r="20" spans="1:8" x14ac:dyDescent="0.25">
      <c r="A20" s="9">
        <v>18</v>
      </c>
      <c r="B20" s="10"/>
      <c r="C20" s="10"/>
      <c r="D20" s="18"/>
      <c r="E20" s="18"/>
      <c r="F20" s="18"/>
      <c r="G20" s="18"/>
      <c r="H20" s="18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2026-10-30T06:25:01Z</dcterms:modified>
</cp:coreProperties>
</file>
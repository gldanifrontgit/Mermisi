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jsaProject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411\Desktop\12-2024 - web\Mermisi-main\Journals\"/>
    </mc:Choice>
  </mc:AlternateContent>
  <bookViews>
    <workbookView xWindow="0" yWindow="0" windowWidth="28800" windowHeight="12435"/>
  </bookViews>
  <sheets>
    <sheet name="cms" sheetId="1" r:id="rId1"/>
    <sheet name="გაცდენები" sheetId="2" r:id="rId2"/>
  </sheets>
  <calcPr calcId="152511"/>
</workbook>
</file>

<file path=xl/calcChain.xml><?xml version="1.0" encoding="utf-8"?>
<calcChain xmlns="http://schemas.openxmlformats.org/spreadsheetml/2006/main">
  <c r="D13" i="1" l="1"/>
  <c r="D12" i="1"/>
  <c r="G5" i="2" l="1"/>
  <c r="BX1" i="1" l="1"/>
  <c r="G12" i="2" l="1"/>
  <c r="G11" i="2"/>
  <c r="G10" i="2"/>
  <c r="G9" i="2"/>
  <c r="G8" i="2"/>
  <c r="G7" i="2"/>
  <c r="G6" i="2"/>
  <c r="F12" i="2"/>
  <c r="F11" i="2"/>
  <c r="F10" i="2"/>
  <c r="F9" i="2"/>
  <c r="F8" i="2"/>
  <c r="F7" i="2"/>
  <c r="F6" i="2"/>
  <c r="E12" i="2"/>
  <c r="E11" i="2"/>
  <c r="E10" i="2"/>
  <c r="E9" i="2"/>
  <c r="E8" i="2"/>
  <c r="E7" i="2"/>
  <c r="E6" i="2"/>
  <c r="D12" i="2"/>
  <c r="D11" i="2"/>
  <c r="D10" i="2"/>
  <c r="D9" i="2"/>
  <c r="D8" i="2"/>
  <c r="D7" i="2"/>
  <c r="D6" i="2"/>
  <c r="F5" i="2"/>
  <c r="E5" i="2"/>
  <c r="D5" i="2"/>
  <c r="D15" i="1" l="1"/>
  <c r="E15" i="1" s="1"/>
  <c r="D16" i="1"/>
  <c r="E16" i="1" s="1"/>
  <c r="C8" i="1" l="1"/>
  <c r="D19" i="1" l="1"/>
  <c r="D26" i="1"/>
  <c r="D25" i="1"/>
  <c r="D24" i="1"/>
  <c r="D23" i="1"/>
  <c r="D22" i="1"/>
  <c r="D21" i="1"/>
  <c r="D20" i="1"/>
  <c r="D18" i="1"/>
  <c r="E18" i="1" s="1"/>
  <c r="D17" i="1"/>
  <c r="E17" i="1" s="1"/>
  <c r="D14" i="1"/>
  <c r="E14" i="1" s="1"/>
  <c r="E13" i="1"/>
  <c r="E12" i="1"/>
  <c r="D11" i="1"/>
  <c r="E11" i="1" s="1"/>
  <c r="E29" i="1" l="1"/>
</calcChain>
</file>

<file path=xl/sharedStrings.xml><?xml version="1.0" encoding="utf-8"?>
<sst xmlns="http://schemas.openxmlformats.org/spreadsheetml/2006/main" count="60" uniqueCount="40">
  <si>
    <t>რიცხვი</t>
  </si>
  <si>
    <t>პროფესიული განათლების მასწავლებელი</t>
  </si>
  <si>
    <t>ლევან ჭუმბურიძე</t>
  </si>
  <si>
    <t>საკონტაქტო საათები</t>
  </si>
  <si>
    <t>შეფასება</t>
  </si>
  <si>
    <t>დამოუკიდებელი</t>
  </si>
  <si>
    <t>სულ-საათების ჯამური რაოდენობა</t>
  </si>
  <si>
    <t>N</t>
  </si>
  <si>
    <t>სახელი გვარი</t>
  </si>
  <si>
    <t>გაცდენილი საათები</t>
  </si>
  <si>
    <t>სულ</t>
  </si>
  <si>
    <t>%</t>
  </si>
  <si>
    <t>ბერიაშვილი</t>
  </si>
  <si>
    <t>ცოტნე</t>
  </si>
  <si>
    <t>გოგონაძე</t>
  </si>
  <si>
    <t>საბა</t>
  </si>
  <si>
    <t>ზუბიტაშვილი</t>
  </si>
  <si>
    <t>ქრისტინე</t>
  </si>
  <si>
    <t>კოტოიანი</t>
  </si>
  <si>
    <t>დენიელ</t>
  </si>
  <si>
    <t>მაისურაძე</t>
  </si>
  <si>
    <t>დავითი</t>
  </si>
  <si>
    <t>ჟორჟოლიანი</t>
  </si>
  <si>
    <t>დაჩი</t>
  </si>
  <si>
    <t xml:space="preserve">სამაკაშვილი </t>
  </si>
  <si>
    <t>სანდრო</t>
  </si>
  <si>
    <t>წიგნაძე</t>
  </si>
  <si>
    <t>ვებტექნოლოგიები,  ჯგუფი: 12-2024</t>
  </si>
  <si>
    <t>გავაცდინე ეს საათი</t>
  </si>
  <si>
    <t>წინა მასწავლებელმა ჩაატარა</t>
  </si>
  <si>
    <t>მარტი</t>
  </si>
  <si>
    <t>აპრილი</t>
  </si>
  <si>
    <t>ივნისი</t>
  </si>
  <si>
    <t>ივლისი</t>
  </si>
  <si>
    <t>მაისი</t>
  </si>
  <si>
    <t>გაცდენების რაოდენობა</t>
  </si>
  <si>
    <t>დადასტურება</t>
  </si>
  <si>
    <t>ვებგვერდის მარკირება Bootstrap სპეც. ბიბლიოთეკების საშუალებით</t>
  </si>
  <si>
    <t>`</t>
  </si>
  <si>
    <t>18,09,2026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</si>
</sst>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6" x14ac:knownFonts="1">
    <font>
      <sz val="11"/>
      <color theme="1"/>
      <name val="Calibri"/>
      <scheme val="minor"/>
    </font>
    <font>
      <sz val="9"/>
      <color theme="1"/>
      <name val="Sylfaen"/>
    </font>
    <font>
      <sz val="10"/>
      <color theme="1"/>
      <name val="Sylfaen"/>
    </font>
    <font>
      <b/>
      <sz val="9"/>
      <color indexed="2"/>
      <name val="Sylfaen"/>
    </font>
    <font>
      <b/>
      <sz val="9"/>
      <color theme="1"/>
      <name val="Sylfaen"/>
    </font>
    <font>
      <b/>
      <sz val="9"/>
      <color theme="1"/>
      <name val="Calibri"/>
      <scheme val="minor"/>
    </font>
    <font>
      <sz val="11"/>
      <name val="Sylfaen"/>
    </font>
    <font>
      <b/>
      <sz val="11"/>
      <color indexed="2"/>
      <name val="Sylfaen"/>
    </font>
    <font>
      <sz val="11"/>
      <color indexed="63"/>
      <name val="Sylfaen"/>
    </font>
    <font>
      <sz val="11"/>
      <color theme="1"/>
      <name val="Calibri"/>
      <scheme val="minor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9"/>
      <color theme="1"/>
      <name val="Sylfae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164" fontId="9" fillId="0" borderId="0" applyFont="0" applyFill="0" applyBorder="0" applyProtection="0"/>
  </cellStyleXfs>
  <cellXfs count="6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textRotation="90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164" fontId="7" fillId="2" borderId="1" xfId="1" applyNumberFormat="1" applyFont="1" applyFill="1" applyBorder="1"/>
    <xf numFmtId="0" fontId="8" fillId="2" borderId="1" xfId="0" applyFont="1" applyFill="1" applyBorder="1" applyAlignment="1">
      <alignment vertical="top" wrapText="1"/>
    </xf>
    <xf numFmtId="10" fontId="10" fillId="2" borderId="1" xfId="1" applyNumberFormat="1" applyFont="1" applyFill="1" applyBorder="1"/>
    <xf numFmtId="0" fontId="0" fillId="4" borderId="0" xfId="0" applyFill="1"/>
    <xf numFmtId="0" fontId="12" fillId="2" borderId="0" xfId="0" applyFont="1" applyFill="1"/>
    <xf numFmtId="0" fontId="0" fillId="3" borderId="0" xfId="0" applyFill="1"/>
    <xf numFmtId="0" fontId="14" fillId="0" borderId="0" xfId="0" applyFont="1" applyAlignment="1">
      <alignment vertical="center"/>
    </xf>
    <xf numFmtId="0" fontId="11" fillId="0" borderId="1" xfId="0" applyFont="1" applyBorder="1" applyAlignment="1">
      <alignment horizontal="center" vertical="top"/>
    </xf>
    <xf numFmtId="0" fontId="0" fillId="5" borderId="0" xfId="0" applyFill="1"/>
    <xf numFmtId="10" fontId="0" fillId="2" borderId="0" xfId="0" applyNumberFormat="1" applyFill="1"/>
    <xf numFmtId="0" fontId="0" fillId="2" borderId="1" xfId="0" applyFill="1" applyBorder="1" applyAlignment="1"/>
    <xf numFmtId="0" fontId="0" fillId="2" borderId="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4" fontId="2" fillId="7" borderId="7" xfId="0" applyNumberFormat="1" applyFont="1" applyFill="1" applyBorder="1" applyAlignment="1">
      <alignment horizontal="center" vertical="center" textRotation="90"/>
    </xf>
    <xf numFmtId="14" fontId="2" fillId="7" borderId="11" xfId="0" applyNumberFormat="1" applyFont="1" applyFill="1" applyBorder="1" applyAlignment="1">
      <alignment horizontal="center" vertical="center" textRotation="90"/>
    </xf>
    <xf numFmtId="14" fontId="2" fillId="5" borderId="7" xfId="0" applyNumberFormat="1" applyFont="1" applyFill="1" applyBorder="1" applyAlignment="1">
      <alignment horizontal="center" vertical="center" textRotation="90"/>
    </xf>
    <xf numFmtId="14" fontId="2" fillId="5" borderId="11" xfId="0" applyNumberFormat="1" applyFont="1" applyFill="1" applyBorder="1" applyAlignment="1">
      <alignment horizontal="center" vertical="center" textRotation="90"/>
    </xf>
    <xf numFmtId="0" fontId="1" fillId="2" borderId="1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textRotation="90"/>
    </xf>
    <xf numFmtId="0" fontId="1" fillId="2" borderId="7" xfId="0" applyFont="1" applyFill="1" applyBorder="1" applyAlignment="1">
      <alignment horizontal="center" vertical="center" textRotation="90"/>
    </xf>
    <xf numFmtId="0" fontId="1" fillId="2" borderId="11" xfId="0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0" fillId="2" borderId="8" xfId="0" applyFill="1" applyBorder="1" applyAlignment="1">
      <alignment horizontal="center"/>
    </xf>
    <xf numFmtId="0" fontId="15" fillId="2" borderId="1" xfId="0" applyFont="1" applyFill="1" applyBorder="1" applyAlignment="1">
      <alignment horizontal="left" wrapText="1"/>
    </xf>
    <xf numFmtId="14" fontId="2" fillId="4" borderId="7" xfId="0" applyNumberFormat="1" applyFont="1" applyFill="1" applyBorder="1" applyAlignment="1">
      <alignment horizontal="center" vertical="center" textRotation="90"/>
    </xf>
    <xf numFmtId="14" fontId="2" fillId="4" borderId="11" xfId="0" applyNumberFormat="1" applyFont="1" applyFill="1" applyBorder="1" applyAlignment="1">
      <alignment horizontal="center" vertical="center" textRotation="90"/>
    </xf>
    <xf numFmtId="0" fontId="0" fillId="6" borderId="1" xfId="0" applyFill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nlyoffice.com/jsaProject" Target="jsaProject.bin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31"/>
  <sheetViews>
    <sheetView tabSelected="1" zoomScaleNormal="100" workbookViewId="0">
      <selection activeCell="AG2" sqref="AG2:AG7"/>
    </sheetView>
  </sheetViews>
  <sheetFormatPr defaultColWidth="3.5703125" defaultRowHeight="16.5" customHeight="1" x14ac:dyDescent="0.25"/>
  <cols>
    <col min="1" max="1" width="3.5703125" style="2"/>
    <col min="2" max="3" width="21" style="1" customWidth="1"/>
    <col min="4" max="4" width="8" style="1" customWidth="1"/>
    <col min="5" max="5" width="14.5703125" style="1" customWidth="1"/>
    <col min="6" max="36" width="3.5703125" style="1"/>
    <col min="37" max="37" width="3.5703125" style="1" customWidth="1"/>
    <col min="38" max="75" width="3.5703125" style="1"/>
    <col min="76" max="76" width="5.140625" style="1" customWidth="1"/>
    <col min="77" max="16384" width="3.5703125" style="1"/>
  </cols>
  <sheetData>
    <row r="1" spans="1:76" ht="16.5" customHeight="1" x14ac:dyDescent="0.25">
      <c r="A1" s="38" t="s">
        <v>27</v>
      </c>
      <c r="B1" s="39"/>
      <c r="C1" s="39"/>
      <c r="D1" s="40"/>
      <c r="F1" s="24">
        <v>7</v>
      </c>
      <c r="G1" s="52"/>
      <c r="H1" s="25"/>
      <c r="I1" s="23">
        <v>1</v>
      </c>
      <c r="J1" s="24">
        <v>2</v>
      </c>
      <c r="K1" s="25"/>
      <c r="L1" s="24">
        <v>2</v>
      </c>
      <c r="M1" s="25"/>
      <c r="N1" s="24">
        <v>2</v>
      </c>
      <c r="O1" s="25"/>
      <c r="P1" s="24">
        <v>2</v>
      </c>
      <c r="Q1" s="25"/>
      <c r="R1" s="24">
        <v>2</v>
      </c>
      <c r="S1" s="25"/>
      <c r="T1" s="24">
        <v>2</v>
      </c>
      <c r="U1" s="25"/>
      <c r="V1" s="24">
        <v>2</v>
      </c>
      <c r="W1" s="25"/>
      <c r="X1" s="24">
        <v>2</v>
      </c>
      <c r="Y1" s="25"/>
      <c r="Z1" s="24">
        <v>2</v>
      </c>
      <c r="AA1" s="25"/>
      <c r="AB1" s="22"/>
      <c r="AC1" s="22"/>
      <c r="AD1" s="24">
        <v>2</v>
      </c>
      <c r="AE1" s="25"/>
      <c r="AF1" s="24">
        <v>2</v>
      </c>
      <c r="AG1" s="25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">
        <f>SUM(F1:BW1)</f>
        <v>30</v>
      </c>
    </row>
    <row r="2" spans="1:76" ht="11.25" customHeight="1" x14ac:dyDescent="0.25">
      <c r="A2" s="41"/>
      <c r="B2" s="42"/>
      <c r="C2" s="42"/>
      <c r="D2" s="43"/>
      <c r="E2" s="44" t="s">
        <v>0</v>
      </c>
      <c r="F2" s="28">
        <v>46274</v>
      </c>
      <c r="G2" s="28">
        <v>46274</v>
      </c>
      <c r="H2" s="28">
        <v>46274</v>
      </c>
      <c r="I2" s="28">
        <v>46276</v>
      </c>
      <c r="J2" s="28">
        <v>46279</v>
      </c>
      <c r="K2" s="28">
        <v>46279</v>
      </c>
      <c r="L2" s="28" t="s">
        <v>39</v>
      </c>
      <c r="M2" s="28" t="s">
        <v>39</v>
      </c>
      <c r="N2" s="28">
        <v>46286</v>
      </c>
      <c r="O2" s="28">
        <v>46286</v>
      </c>
      <c r="P2" s="28">
        <v>46290</v>
      </c>
      <c r="Q2" s="28">
        <v>46290</v>
      </c>
      <c r="R2" s="28">
        <v>46293</v>
      </c>
      <c r="S2" s="28">
        <v>46293</v>
      </c>
      <c r="T2" s="28">
        <v>46297</v>
      </c>
      <c r="U2" s="28">
        <v>46297</v>
      </c>
      <c r="V2" s="30">
        <v>46300</v>
      </c>
      <c r="W2" s="30">
        <v>46300</v>
      </c>
      <c r="X2" s="28">
        <v>46304</v>
      </c>
      <c r="Y2" s="28">
        <v>46304</v>
      </c>
      <c r="Z2" s="28">
        <v>46307</v>
      </c>
      <c r="AA2" s="28">
        <v>46307</v>
      </c>
      <c r="AB2" s="54">
        <v>46311</v>
      </c>
      <c r="AC2" s="54">
        <v>46311</v>
      </c>
      <c r="AD2" s="28">
        <v>46314</v>
      </c>
      <c r="AE2" s="28">
        <v>46314</v>
      </c>
      <c r="AF2" s="28">
        <v>46318</v>
      </c>
      <c r="AG2" s="28">
        <v>46318</v>
      </c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</row>
    <row r="3" spans="1:76" ht="27" customHeight="1" x14ac:dyDescent="0.25">
      <c r="A3" s="35" t="s">
        <v>37</v>
      </c>
      <c r="B3" s="35"/>
      <c r="C3" s="35"/>
      <c r="D3" s="35"/>
      <c r="E3" s="45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30"/>
      <c r="W3" s="30"/>
      <c r="X3" s="28"/>
      <c r="Y3" s="28"/>
      <c r="Z3" s="28"/>
      <c r="AA3" s="28"/>
      <c r="AB3" s="54"/>
      <c r="AC3" s="54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</row>
    <row r="4" spans="1:76" ht="24.75" customHeight="1" x14ac:dyDescent="0.25">
      <c r="A4" s="47" t="s">
        <v>1</v>
      </c>
      <c r="B4" s="47"/>
      <c r="C4" s="33" t="s">
        <v>2</v>
      </c>
      <c r="D4" s="34"/>
      <c r="E4" s="45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30"/>
      <c r="W4" s="30"/>
      <c r="X4" s="28"/>
      <c r="Y4" s="28"/>
      <c r="Z4" s="28"/>
      <c r="AA4" s="28"/>
      <c r="AB4" s="54"/>
      <c r="AC4" s="54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</row>
    <row r="5" spans="1:76" ht="16.5" customHeight="1" x14ac:dyDescent="0.25">
      <c r="A5" s="48" t="s">
        <v>3</v>
      </c>
      <c r="B5" s="48"/>
      <c r="C5" s="49">
        <v>60</v>
      </c>
      <c r="D5" s="50"/>
      <c r="E5" s="45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30"/>
      <c r="W5" s="30"/>
      <c r="X5" s="28"/>
      <c r="Y5" s="28"/>
      <c r="Z5" s="28"/>
      <c r="AA5" s="28"/>
      <c r="AB5" s="54"/>
      <c r="AC5" s="54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</row>
    <row r="6" spans="1:76" ht="16.5" customHeight="1" x14ac:dyDescent="0.25">
      <c r="A6" s="48" t="s">
        <v>4</v>
      </c>
      <c r="B6" s="48"/>
      <c r="C6" s="49">
        <v>4</v>
      </c>
      <c r="D6" s="50"/>
      <c r="E6" s="45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30"/>
      <c r="W6" s="30"/>
      <c r="X6" s="28"/>
      <c r="Y6" s="28"/>
      <c r="Z6" s="28"/>
      <c r="AA6" s="28"/>
      <c r="AB6" s="54"/>
      <c r="AC6" s="54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6" ht="16.5" customHeight="1" x14ac:dyDescent="0.25">
      <c r="A7" s="51" t="s">
        <v>5</v>
      </c>
      <c r="B7" s="51"/>
      <c r="C7" s="49">
        <v>11</v>
      </c>
      <c r="D7" s="50"/>
      <c r="E7" s="46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31"/>
      <c r="W7" s="31"/>
      <c r="X7" s="29"/>
      <c r="Y7" s="29"/>
      <c r="Z7" s="29"/>
      <c r="AA7" s="29"/>
      <c r="AB7" s="55"/>
      <c r="AC7" s="55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</row>
    <row r="8" spans="1:76" ht="24" customHeight="1" x14ac:dyDescent="0.25">
      <c r="A8" s="53" t="s">
        <v>6</v>
      </c>
      <c r="B8" s="53"/>
      <c r="C8" s="32">
        <f>SUM(C5:D7)</f>
        <v>75</v>
      </c>
      <c r="D8" s="34"/>
      <c r="E8" s="3"/>
      <c r="F8" s="26">
        <v>1</v>
      </c>
      <c r="G8" s="26">
        <v>2</v>
      </c>
      <c r="H8" s="26">
        <v>3</v>
      </c>
      <c r="I8" s="26">
        <v>4</v>
      </c>
      <c r="J8" s="26">
        <v>5</v>
      </c>
      <c r="K8" s="26">
        <v>6</v>
      </c>
      <c r="L8" s="26">
        <v>7</v>
      </c>
      <c r="M8" s="26">
        <v>8</v>
      </c>
      <c r="N8" s="26">
        <v>9</v>
      </c>
      <c r="O8" s="26">
        <v>10</v>
      </c>
      <c r="P8" s="26">
        <v>11</v>
      </c>
      <c r="Q8" s="26">
        <v>12</v>
      </c>
      <c r="R8" s="26">
        <v>13</v>
      </c>
      <c r="S8" s="26">
        <v>14</v>
      </c>
      <c r="T8" s="26">
        <v>15</v>
      </c>
      <c r="U8" s="26">
        <v>16</v>
      </c>
      <c r="V8" s="26">
        <v>17</v>
      </c>
      <c r="W8" s="26">
        <v>18</v>
      </c>
      <c r="X8" s="26">
        <v>19</v>
      </c>
      <c r="Y8" s="26">
        <v>20</v>
      </c>
      <c r="Z8" s="26">
        <v>21</v>
      </c>
      <c r="AA8" s="26">
        <v>22</v>
      </c>
      <c r="AB8" s="26">
        <v>23</v>
      </c>
      <c r="AC8" s="26">
        <v>24</v>
      </c>
      <c r="AD8" s="26">
        <v>25</v>
      </c>
      <c r="AE8" s="26">
        <v>26</v>
      </c>
      <c r="AF8" s="26">
        <v>27</v>
      </c>
      <c r="AG8" s="26">
        <v>28</v>
      </c>
      <c r="AH8" s="26">
        <v>29</v>
      </c>
      <c r="AI8" s="26">
        <v>30</v>
      </c>
      <c r="AJ8" s="26">
        <v>31</v>
      </c>
      <c r="AK8" s="26">
        <v>32</v>
      </c>
      <c r="AL8" s="26">
        <v>33</v>
      </c>
      <c r="AM8" s="26">
        <v>34</v>
      </c>
      <c r="AN8" s="26">
        <v>35</v>
      </c>
      <c r="AO8" s="26">
        <v>36</v>
      </c>
      <c r="AP8" s="26">
        <v>37</v>
      </c>
      <c r="AQ8" s="26">
        <v>38</v>
      </c>
      <c r="AR8" s="26">
        <v>39</v>
      </c>
      <c r="AS8" s="26">
        <v>40</v>
      </c>
      <c r="AT8" s="26">
        <v>41</v>
      </c>
      <c r="AU8" s="26">
        <v>42</v>
      </c>
      <c r="AV8" s="26">
        <v>43</v>
      </c>
      <c r="AW8" s="26">
        <v>44</v>
      </c>
      <c r="AX8" s="26">
        <v>45</v>
      </c>
      <c r="AY8" s="26">
        <v>46</v>
      </c>
      <c r="AZ8" s="26">
        <v>47</v>
      </c>
      <c r="BA8" s="26">
        <v>48</v>
      </c>
      <c r="BB8" s="26">
        <v>49</v>
      </c>
      <c r="BC8" s="26">
        <v>50</v>
      </c>
      <c r="BD8" s="26">
        <v>51</v>
      </c>
      <c r="BE8" s="26">
        <v>52</v>
      </c>
      <c r="BF8" s="26">
        <v>53</v>
      </c>
      <c r="BG8" s="26">
        <v>54</v>
      </c>
      <c r="BH8" s="26">
        <v>55</v>
      </c>
      <c r="BI8" s="26">
        <v>56</v>
      </c>
      <c r="BJ8" s="26">
        <v>57</v>
      </c>
      <c r="BK8" s="26">
        <v>58</v>
      </c>
      <c r="BL8" s="26">
        <v>59</v>
      </c>
      <c r="BM8" s="26">
        <v>60</v>
      </c>
      <c r="BN8" s="26">
        <v>61</v>
      </c>
      <c r="BO8" s="26">
        <v>62</v>
      </c>
      <c r="BP8" s="26">
        <v>63</v>
      </c>
      <c r="BQ8" s="26">
        <v>64</v>
      </c>
      <c r="BR8" s="26">
        <v>65</v>
      </c>
      <c r="BS8" s="26">
        <v>66</v>
      </c>
      <c r="BT8" s="26">
        <v>67</v>
      </c>
      <c r="BU8" s="26">
        <v>68</v>
      </c>
      <c r="BV8" s="26">
        <v>69</v>
      </c>
      <c r="BW8" s="26">
        <v>70</v>
      </c>
    </row>
    <row r="9" spans="1:76" ht="16.5" customHeight="1" x14ac:dyDescent="0.25">
      <c r="A9" s="35" t="s">
        <v>7</v>
      </c>
      <c r="B9" s="36" t="s">
        <v>8</v>
      </c>
      <c r="C9" s="37" t="s">
        <v>9</v>
      </c>
      <c r="D9" s="36"/>
      <c r="E9" s="5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</row>
    <row r="10" spans="1:76" ht="16.5" customHeight="1" x14ac:dyDescent="0.25">
      <c r="A10" s="35"/>
      <c r="B10" s="36"/>
      <c r="C10" s="6"/>
      <c r="D10" s="4" t="s">
        <v>10</v>
      </c>
      <c r="E10" s="7" t="s">
        <v>11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8">
        <v>1</v>
      </c>
      <c r="Q10" s="8">
        <v>1</v>
      </c>
      <c r="R10" s="8">
        <v>1</v>
      </c>
      <c r="S10" s="8">
        <v>1</v>
      </c>
      <c r="T10" s="8">
        <v>1</v>
      </c>
      <c r="U10" s="8">
        <v>1</v>
      </c>
      <c r="V10" s="8">
        <v>1</v>
      </c>
      <c r="W10" s="8">
        <v>1</v>
      </c>
      <c r="X10" s="8">
        <v>1</v>
      </c>
      <c r="Y10" s="8">
        <v>1</v>
      </c>
      <c r="Z10" s="8">
        <v>1</v>
      </c>
      <c r="AA10" s="8">
        <v>1</v>
      </c>
      <c r="AB10" s="8">
        <v>1</v>
      </c>
      <c r="AC10" s="8">
        <v>1</v>
      </c>
      <c r="AD10" s="8">
        <v>1</v>
      </c>
      <c r="AE10" s="8">
        <v>1</v>
      </c>
      <c r="AF10" s="8">
        <v>1</v>
      </c>
      <c r="AG10" s="8">
        <v>1</v>
      </c>
      <c r="AH10" s="8">
        <v>1</v>
      </c>
      <c r="AI10" s="8">
        <v>1</v>
      </c>
      <c r="AJ10" s="8">
        <v>1</v>
      </c>
      <c r="AK10" s="8">
        <v>1</v>
      </c>
      <c r="AL10" s="8">
        <v>1</v>
      </c>
      <c r="AM10" s="8">
        <v>1</v>
      </c>
      <c r="AN10" s="8">
        <v>1</v>
      </c>
      <c r="AO10" s="8">
        <v>1</v>
      </c>
      <c r="AP10" s="8">
        <v>1</v>
      </c>
      <c r="AQ10" s="8">
        <v>1</v>
      </c>
      <c r="AR10" s="8">
        <v>1</v>
      </c>
      <c r="AS10" s="8">
        <v>1</v>
      </c>
      <c r="AT10" s="8">
        <v>1</v>
      </c>
      <c r="AU10" s="8">
        <v>1</v>
      </c>
      <c r="AV10" s="8">
        <v>1</v>
      </c>
      <c r="AW10" s="8">
        <v>1</v>
      </c>
      <c r="AX10" s="8">
        <v>1</v>
      </c>
      <c r="AY10" s="8">
        <v>1</v>
      </c>
      <c r="AZ10" s="8">
        <v>1</v>
      </c>
      <c r="BA10" s="8">
        <v>1</v>
      </c>
      <c r="BB10" s="8">
        <v>1</v>
      </c>
      <c r="BC10" s="8">
        <v>1</v>
      </c>
      <c r="BD10" s="8">
        <v>1</v>
      </c>
      <c r="BE10" s="8">
        <v>1</v>
      </c>
      <c r="BF10" s="8">
        <v>1</v>
      </c>
      <c r="BG10" s="8">
        <v>1</v>
      </c>
      <c r="BH10" s="8">
        <v>1</v>
      </c>
      <c r="BI10" s="8">
        <v>1</v>
      </c>
      <c r="BJ10" s="8">
        <v>1</v>
      </c>
      <c r="BK10" s="8">
        <v>1</v>
      </c>
      <c r="BL10" s="8">
        <v>1</v>
      </c>
      <c r="BM10" s="8">
        <v>1</v>
      </c>
      <c r="BN10" s="8">
        <v>1</v>
      </c>
      <c r="BO10" s="8">
        <v>1</v>
      </c>
      <c r="BP10" s="8">
        <v>1</v>
      </c>
      <c r="BQ10" s="8">
        <v>1</v>
      </c>
      <c r="BR10" s="8">
        <v>1</v>
      </c>
      <c r="BS10" s="8">
        <v>1</v>
      </c>
      <c r="BT10" s="8">
        <v>1</v>
      </c>
      <c r="BU10" s="8">
        <v>1</v>
      </c>
      <c r="BV10" s="8">
        <v>1</v>
      </c>
      <c r="BW10" s="8">
        <v>1</v>
      </c>
    </row>
    <row r="11" spans="1:76" ht="16.5" customHeight="1" x14ac:dyDescent="0.25">
      <c r="A11" s="9">
        <v>1</v>
      </c>
      <c r="B11" s="13" t="s">
        <v>12</v>
      </c>
      <c r="C11" s="13" t="s">
        <v>13</v>
      </c>
      <c r="D11" s="11">
        <f t="shared" ref="D11:D26" si="0">COUNT(F11:BW11)</f>
        <v>8</v>
      </c>
      <c r="E11" s="14">
        <f>D11/C5</f>
        <v>0.13333333333333333</v>
      </c>
      <c r="F11" s="3"/>
      <c r="G11" s="3"/>
      <c r="H11" s="3" t="s">
        <v>38</v>
      </c>
      <c r="I11" s="3"/>
      <c r="J11" s="3">
        <v>0</v>
      </c>
      <c r="K11" s="3"/>
      <c r="L11" s="3">
        <v>0</v>
      </c>
      <c r="M11" s="3"/>
      <c r="N11" s="3">
        <v>0</v>
      </c>
      <c r="O11" s="3">
        <v>0</v>
      </c>
      <c r="P11" s="3"/>
      <c r="Q11" s="3"/>
      <c r="R11" s="3">
        <v>0</v>
      </c>
      <c r="S11" s="3">
        <v>0</v>
      </c>
      <c r="T11" s="3">
        <v>0</v>
      </c>
      <c r="U11" s="3">
        <v>0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</row>
    <row r="12" spans="1:76" ht="16.5" customHeight="1" x14ac:dyDescent="0.25">
      <c r="A12" s="9">
        <v>3</v>
      </c>
      <c r="B12" s="13" t="s">
        <v>14</v>
      </c>
      <c r="C12" s="13" t="s">
        <v>15</v>
      </c>
      <c r="D12" s="11">
        <f t="shared" si="0"/>
        <v>15</v>
      </c>
      <c r="E12" s="14">
        <f>D12/C5</f>
        <v>0.25</v>
      </c>
      <c r="F12" s="3">
        <v>0</v>
      </c>
      <c r="G12" s="3">
        <v>0</v>
      </c>
      <c r="H12" s="3">
        <v>0</v>
      </c>
      <c r="I12" s="3"/>
      <c r="J12" s="3">
        <v>0</v>
      </c>
      <c r="K12" s="3"/>
      <c r="L12" s="3">
        <v>0</v>
      </c>
      <c r="M12" s="3"/>
      <c r="N12" s="3">
        <v>0</v>
      </c>
      <c r="O12" s="3">
        <v>0</v>
      </c>
      <c r="P12" s="3"/>
      <c r="Q12" s="3"/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</row>
    <row r="13" spans="1:76" ht="16.5" customHeight="1" x14ac:dyDescent="0.25">
      <c r="A13" s="9">
        <v>4</v>
      </c>
      <c r="B13" s="13" t="s">
        <v>16</v>
      </c>
      <c r="C13" s="13" t="s">
        <v>17</v>
      </c>
      <c r="D13" s="11">
        <f t="shared" si="0"/>
        <v>14</v>
      </c>
      <c r="E13" s="14">
        <f>D13/C5</f>
        <v>0.23333333333333334</v>
      </c>
      <c r="F13" s="3">
        <v>0</v>
      </c>
      <c r="G13" s="3">
        <v>0</v>
      </c>
      <c r="H13" s="3">
        <v>0</v>
      </c>
      <c r="I13" s="3"/>
      <c r="J13" s="3"/>
      <c r="K13" s="3"/>
      <c r="L13" s="3">
        <v>0</v>
      </c>
      <c r="M13" s="3"/>
      <c r="N13" s="3">
        <v>0</v>
      </c>
      <c r="O13" s="3">
        <v>0</v>
      </c>
      <c r="P13" s="3"/>
      <c r="Q13" s="3"/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</row>
    <row r="14" spans="1:76" ht="16.5" customHeight="1" x14ac:dyDescent="0.25">
      <c r="A14" s="9">
        <v>6</v>
      </c>
      <c r="B14" s="13" t="s">
        <v>18</v>
      </c>
      <c r="C14" s="13" t="s">
        <v>19</v>
      </c>
      <c r="D14" s="11">
        <f t="shared" si="0"/>
        <v>15</v>
      </c>
      <c r="E14" s="14">
        <f>D14/C5</f>
        <v>0.25</v>
      </c>
      <c r="F14" s="3">
        <v>0</v>
      </c>
      <c r="G14" s="3">
        <v>0</v>
      </c>
      <c r="H14" s="3">
        <v>0</v>
      </c>
      <c r="I14" s="3"/>
      <c r="J14" s="3">
        <v>0</v>
      </c>
      <c r="K14" s="3"/>
      <c r="L14" s="3">
        <v>0</v>
      </c>
      <c r="M14" s="3"/>
      <c r="N14" s="3">
        <v>0</v>
      </c>
      <c r="O14" s="3">
        <v>0</v>
      </c>
      <c r="P14" s="3"/>
      <c r="Q14" s="3"/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</row>
    <row r="15" spans="1:76" ht="16.5" customHeight="1" x14ac:dyDescent="0.25">
      <c r="A15" s="9">
        <v>7</v>
      </c>
      <c r="B15" s="13" t="s">
        <v>20</v>
      </c>
      <c r="C15" s="13" t="s">
        <v>21</v>
      </c>
      <c r="D15" s="11">
        <f t="shared" si="0"/>
        <v>15</v>
      </c>
      <c r="E15" s="14">
        <f>D15/C5</f>
        <v>0.25</v>
      </c>
      <c r="F15" s="3">
        <v>0</v>
      </c>
      <c r="G15" s="3">
        <v>0</v>
      </c>
      <c r="H15" s="3">
        <v>0</v>
      </c>
      <c r="I15" s="3"/>
      <c r="J15" s="3">
        <v>0</v>
      </c>
      <c r="K15" s="3"/>
      <c r="L15" s="3">
        <v>0</v>
      </c>
      <c r="M15" s="3"/>
      <c r="N15" s="3">
        <v>0</v>
      </c>
      <c r="O15" s="3">
        <v>0</v>
      </c>
      <c r="P15" s="3"/>
      <c r="Q15" s="3"/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</row>
    <row r="16" spans="1:76" ht="16.5" customHeight="1" x14ac:dyDescent="0.25">
      <c r="A16" s="9">
        <v>8</v>
      </c>
      <c r="B16" s="13" t="s">
        <v>22</v>
      </c>
      <c r="C16" s="13" t="s">
        <v>23</v>
      </c>
      <c r="D16" s="11">
        <f t="shared" si="0"/>
        <v>10</v>
      </c>
      <c r="E16" s="14">
        <f>D16/C5</f>
        <v>0.16666666666666666</v>
      </c>
      <c r="F16" s="3"/>
      <c r="G16" s="3"/>
      <c r="H16" s="3"/>
      <c r="I16" s="3"/>
      <c r="J16" s="3">
        <v>0</v>
      </c>
      <c r="K16" s="3"/>
      <c r="L16" s="3">
        <v>0</v>
      </c>
      <c r="M16" s="3"/>
      <c r="N16" s="3"/>
      <c r="O16" s="3"/>
      <c r="P16" s="3"/>
      <c r="Q16" s="3"/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</row>
    <row r="17" spans="1:75" ht="16.5" customHeight="1" x14ac:dyDescent="0.25">
      <c r="A17" s="9">
        <v>10</v>
      </c>
      <c r="B17" s="13" t="s">
        <v>24</v>
      </c>
      <c r="C17" s="13" t="s">
        <v>25</v>
      </c>
      <c r="D17" s="11">
        <f t="shared" si="0"/>
        <v>5</v>
      </c>
      <c r="E17" s="14">
        <f>D17/C5</f>
        <v>8.3333333333333329E-2</v>
      </c>
      <c r="F17" s="3"/>
      <c r="G17" s="3"/>
      <c r="H17" s="3"/>
      <c r="I17" s="3"/>
      <c r="J17" s="3">
        <v>0</v>
      </c>
      <c r="K17" s="3"/>
      <c r="L17" s="3"/>
      <c r="M17" s="3"/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>
        <v>0</v>
      </c>
      <c r="Y17" s="3">
        <v>0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</row>
    <row r="18" spans="1:75" ht="16.5" customHeight="1" x14ac:dyDescent="0.25">
      <c r="A18" s="9">
        <v>11</v>
      </c>
      <c r="B18" s="13" t="s">
        <v>26</v>
      </c>
      <c r="C18" s="13" t="s">
        <v>15</v>
      </c>
      <c r="D18" s="11">
        <f t="shared" si="0"/>
        <v>13</v>
      </c>
      <c r="E18" s="14">
        <f>D18/C5</f>
        <v>0.21666666666666667</v>
      </c>
      <c r="F18" s="3"/>
      <c r="G18" s="3"/>
      <c r="H18" s="3"/>
      <c r="I18" s="3">
        <v>0</v>
      </c>
      <c r="J18" s="3">
        <v>0</v>
      </c>
      <c r="K18" s="3"/>
      <c r="L18" s="3">
        <v>0</v>
      </c>
      <c r="M18" s="3"/>
      <c r="N18" s="3">
        <v>0</v>
      </c>
      <c r="O18" s="3">
        <v>0</v>
      </c>
      <c r="P18" s="3"/>
      <c r="Q18" s="3"/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</row>
    <row r="19" spans="1:75" ht="16.5" customHeight="1" x14ac:dyDescent="0.25">
      <c r="A19" s="9">
        <v>11</v>
      </c>
      <c r="B19" s="10"/>
      <c r="C19" s="10"/>
      <c r="D19" s="11">
        <f t="shared" si="0"/>
        <v>0</v>
      </c>
      <c r="E19" s="1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</row>
    <row r="20" spans="1:75" ht="16.5" customHeight="1" x14ac:dyDescent="0.25">
      <c r="A20" s="9">
        <v>12</v>
      </c>
      <c r="B20" s="13"/>
      <c r="C20" s="10"/>
      <c r="D20" s="11">
        <f t="shared" si="0"/>
        <v>0</v>
      </c>
      <c r="E20" s="1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</row>
    <row r="21" spans="1:75" ht="16.5" customHeight="1" x14ac:dyDescent="0.25">
      <c r="A21" s="9">
        <v>13</v>
      </c>
      <c r="B21" s="10"/>
      <c r="C21" s="10"/>
      <c r="D21" s="11">
        <f t="shared" si="0"/>
        <v>0</v>
      </c>
      <c r="E21" s="1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</row>
    <row r="22" spans="1:75" ht="16.5" customHeight="1" x14ac:dyDescent="0.25">
      <c r="A22" s="9">
        <v>14</v>
      </c>
      <c r="B22" s="10"/>
      <c r="C22" s="10"/>
      <c r="D22" s="11">
        <f t="shared" si="0"/>
        <v>0</v>
      </c>
      <c r="E22" s="1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</row>
    <row r="23" spans="1:75" ht="16.5" customHeight="1" x14ac:dyDescent="0.25">
      <c r="A23" s="9">
        <v>15</v>
      </c>
      <c r="B23" s="10"/>
      <c r="C23" s="10"/>
      <c r="D23" s="11">
        <f t="shared" si="0"/>
        <v>0</v>
      </c>
      <c r="E23" s="1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</row>
    <row r="24" spans="1:75" ht="16.5" customHeight="1" x14ac:dyDescent="0.25">
      <c r="A24" s="9">
        <v>16</v>
      </c>
      <c r="B24" s="10"/>
      <c r="C24" s="10"/>
      <c r="D24" s="11">
        <f t="shared" si="0"/>
        <v>0</v>
      </c>
      <c r="E24" s="1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</row>
    <row r="25" spans="1:75" ht="16.5" customHeight="1" x14ac:dyDescent="0.25">
      <c r="A25" s="9">
        <v>17</v>
      </c>
      <c r="B25" s="10"/>
      <c r="C25" s="10"/>
      <c r="D25" s="11">
        <f t="shared" si="0"/>
        <v>0</v>
      </c>
      <c r="E25" s="1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</row>
    <row r="26" spans="1:75" ht="16.5" customHeight="1" x14ac:dyDescent="0.25">
      <c r="A26" s="9">
        <v>18</v>
      </c>
      <c r="B26" s="10"/>
      <c r="C26" s="10"/>
      <c r="D26" s="11">
        <f t="shared" si="0"/>
        <v>0</v>
      </c>
      <c r="E26" s="32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</row>
    <row r="27" spans="1:75" ht="16.5" customHeight="1" x14ac:dyDescent="0.25"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</row>
    <row r="28" spans="1:75" ht="16.5" customHeight="1" x14ac:dyDescent="0.25">
      <c r="F28" s="1">
        <v>4</v>
      </c>
    </row>
    <row r="29" spans="1:75" ht="16.5" customHeight="1" x14ac:dyDescent="0.25">
      <c r="E29" s="21">
        <f>SUM(E11:E18)/8</f>
        <v>0.19791666666666669</v>
      </c>
      <c r="AJ29" s="15"/>
      <c r="AK29" s="16" t="s">
        <v>28</v>
      </c>
    </row>
    <row r="30" spans="1:75" ht="16.5" customHeight="1" x14ac:dyDescent="0.25">
      <c r="AJ30" s="17"/>
      <c r="AK30" s="16" t="s">
        <v>29</v>
      </c>
    </row>
    <row r="31" spans="1:75" ht="16.5" customHeight="1" x14ac:dyDescent="0.25">
      <c r="AJ31" s="20"/>
      <c r="AK31" s="1" t="s">
        <v>36</v>
      </c>
    </row>
  </sheetData>
  <mergeCells count="172">
    <mergeCell ref="F27:S27"/>
    <mergeCell ref="T27:AW27"/>
    <mergeCell ref="AX27:BW27"/>
    <mergeCell ref="BN8:BN9"/>
    <mergeCell ref="BD2:BD7"/>
    <mergeCell ref="BE2:BE7"/>
    <mergeCell ref="BF2:BF7"/>
    <mergeCell ref="BG2:BG7"/>
    <mergeCell ref="BM2:BM7"/>
    <mergeCell ref="BN2:BN7"/>
    <mergeCell ref="BO2:BO7"/>
    <mergeCell ref="BP2:BP7"/>
    <mergeCell ref="BW2:BW7"/>
    <mergeCell ref="BH2:BH7"/>
    <mergeCell ref="BI2:BI7"/>
    <mergeCell ref="BJ2:BJ7"/>
    <mergeCell ref="BK2:BK7"/>
    <mergeCell ref="BL2:BL7"/>
    <mergeCell ref="BA2:BA7"/>
    <mergeCell ref="BB2:BB7"/>
    <mergeCell ref="BC2:BC7"/>
    <mergeCell ref="M8:M9"/>
    <mergeCell ref="A1:D2"/>
    <mergeCell ref="E2:E7"/>
    <mergeCell ref="F2:F7"/>
    <mergeCell ref="G2:G7"/>
    <mergeCell ref="H2:H7"/>
    <mergeCell ref="I2:I7"/>
    <mergeCell ref="J2:J7"/>
    <mergeCell ref="K2:K7"/>
    <mergeCell ref="L2:L7"/>
    <mergeCell ref="A3:D3"/>
    <mergeCell ref="A4:B4"/>
    <mergeCell ref="C4:D4"/>
    <mergeCell ref="A5:B5"/>
    <mergeCell ref="C5:D5"/>
    <mergeCell ref="A6:B6"/>
    <mergeCell ref="C6:D6"/>
    <mergeCell ref="A7:B7"/>
    <mergeCell ref="C7:D7"/>
    <mergeCell ref="F1:H1"/>
    <mergeCell ref="J1:K1"/>
    <mergeCell ref="L1:M1"/>
    <mergeCell ref="M2:M7"/>
    <mergeCell ref="A8:B8"/>
    <mergeCell ref="C8:D8"/>
    <mergeCell ref="F8:F9"/>
    <mergeCell ref="G8:G9"/>
    <mergeCell ref="H8:H9"/>
    <mergeCell ref="I8:I9"/>
    <mergeCell ref="J8:J9"/>
    <mergeCell ref="K8:K9"/>
    <mergeCell ref="L8:L9"/>
    <mergeCell ref="A9:A10"/>
    <mergeCell ref="B9:B10"/>
    <mergeCell ref="C9:D9"/>
    <mergeCell ref="E26:BW26"/>
    <mergeCell ref="BU8:BU9"/>
    <mergeCell ref="BV8:BV9"/>
    <mergeCell ref="BW8:BW9"/>
    <mergeCell ref="BF8:BF9"/>
    <mergeCell ref="BG8:BG9"/>
    <mergeCell ref="AW8:AW9"/>
    <mergeCell ref="AX8:AX9"/>
    <mergeCell ref="AY8:AY9"/>
    <mergeCell ref="AZ8:AZ9"/>
    <mergeCell ref="BA8:BA9"/>
    <mergeCell ref="BB8:BB9"/>
    <mergeCell ref="BH8:BH9"/>
    <mergeCell ref="BI8:BI9"/>
    <mergeCell ref="BJ8:BJ9"/>
    <mergeCell ref="BK8:BK9"/>
    <mergeCell ref="BL8:BL9"/>
    <mergeCell ref="BM8:BM9"/>
    <mergeCell ref="BC8:BC9"/>
    <mergeCell ref="BD8:BD9"/>
    <mergeCell ref="BE8:BE9"/>
    <mergeCell ref="AN8:AN9"/>
    <mergeCell ref="AO8:AO9"/>
    <mergeCell ref="AP8:AP9"/>
    <mergeCell ref="BS2:BS7"/>
    <mergeCell ref="BT2:BT7"/>
    <mergeCell ref="BU2:BU7"/>
    <mergeCell ref="BV2:BV7"/>
    <mergeCell ref="BO8:BO9"/>
    <mergeCell ref="BP8:BP9"/>
    <mergeCell ref="BQ8:BQ9"/>
    <mergeCell ref="BR8:BR9"/>
    <mergeCell ref="BS8:BS9"/>
    <mergeCell ref="BT8:BT9"/>
    <mergeCell ref="BR2:BR7"/>
    <mergeCell ref="BQ2:BQ7"/>
    <mergeCell ref="AX2:AX7"/>
    <mergeCell ref="AY2:AY7"/>
    <mergeCell ref="AZ2:AZ7"/>
    <mergeCell ref="AK2:AK7"/>
    <mergeCell ref="AL2:AL7"/>
    <mergeCell ref="AM2:AM7"/>
    <mergeCell ref="AS2:AS7"/>
    <mergeCell ref="AT2:AT7"/>
    <mergeCell ref="AU2:AU7"/>
    <mergeCell ref="AV2:AV7"/>
    <mergeCell ref="AW2:AW7"/>
    <mergeCell ref="AN2:AN7"/>
    <mergeCell ref="AO2:AO7"/>
    <mergeCell ref="AR2:AR7"/>
    <mergeCell ref="AQ2:AQ7"/>
    <mergeCell ref="AP2:AP7"/>
    <mergeCell ref="AV8:AV9"/>
    <mergeCell ref="N8:N9"/>
    <mergeCell ref="O8:O9"/>
    <mergeCell ref="P8:P9"/>
    <mergeCell ref="Q8:Q9"/>
    <mergeCell ref="R8:R9"/>
    <mergeCell ref="AF8:AF9"/>
    <mergeCell ref="AG8:AG9"/>
    <mergeCell ref="AH8:AH9"/>
    <mergeCell ref="AI8:AI9"/>
    <mergeCell ref="AJ8:AJ9"/>
    <mergeCell ref="AK8:AK9"/>
    <mergeCell ref="AL8:AL9"/>
    <mergeCell ref="AM8:AM9"/>
    <mergeCell ref="S8:S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U8:AU9"/>
    <mergeCell ref="T1:U1"/>
    <mergeCell ref="T8:T9"/>
    <mergeCell ref="U8:U9"/>
    <mergeCell ref="N2:N7"/>
    <mergeCell ref="O2:O7"/>
    <mergeCell ref="P2:P7"/>
    <mergeCell ref="Q2:Q7"/>
    <mergeCell ref="R2:R7"/>
    <mergeCell ref="S2:S7"/>
    <mergeCell ref="T2:T7"/>
    <mergeCell ref="Y2:Y7"/>
    <mergeCell ref="U2:U7"/>
    <mergeCell ref="V2:V7"/>
    <mergeCell ref="W2:W7"/>
    <mergeCell ref="X2:X7"/>
    <mergeCell ref="Z2:Z7"/>
    <mergeCell ref="AA2:AA7"/>
    <mergeCell ref="AB2:AB7"/>
    <mergeCell ref="AC2:AC7"/>
    <mergeCell ref="AD2:AD7"/>
    <mergeCell ref="AE2:AE7"/>
    <mergeCell ref="AH2:AH7"/>
    <mergeCell ref="AI2:AI7"/>
    <mergeCell ref="AD1:AE1"/>
    <mergeCell ref="X1:Y1"/>
    <mergeCell ref="AE8:AE9"/>
    <mergeCell ref="P1:Q1"/>
    <mergeCell ref="N1:O1"/>
    <mergeCell ref="AQ8:AQ9"/>
    <mergeCell ref="AR8:AR9"/>
    <mergeCell ref="AS8:AS9"/>
    <mergeCell ref="AT8:AT9"/>
    <mergeCell ref="AJ2:AJ7"/>
    <mergeCell ref="AG2:AG7"/>
    <mergeCell ref="AF2:AF7"/>
    <mergeCell ref="Z1:AA1"/>
    <mergeCell ref="V1:W1"/>
    <mergeCell ref="R1:S1"/>
    <mergeCell ref="AF1:AG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zoomScale="130" zoomScaleNormal="130" workbookViewId="0">
      <selection activeCell="D16" sqref="D16"/>
    </sheetView>
  </sheetViews>
  <sheetFormatPr defaultRowHeight="15" x14ac:dyDescent="0.25"/>
  <cols>
    <col min="2" max="2" width="32.7109375" customWidth="1"/>
    <col min="3" max="3" width="13.28515625" customWidth="1"/>
    <col min="4" max="4" width="23.140625" customWidth="1"/>
    <col min="5" max="5" width="15.5703125" customWidth="1"/>
    <col min="6" max="6" width="14.140625" customWidth="1"/>
    <col min="7" max="7" width="12.5703125" customWidth="1"/>
    <col min="8" max="8" width="16.42578125" customWidth="1"/>
  </cols>
  <sheetData>
    <row r="2" spans="1:8" ht="24.75" customHeight="1" x14ac:dyDescent="0.25">
      <c r="B2" s="59"/>
      <c r="C2" s="59"/>
      <c r="D2" s="58" t="s">
        <v>35</v>
      </c>
      <c r="E2" s="58"/>
      <c r="F2" s="58"/>
      <c r="G2" s="58"/>
      <c r="H2" s="58"/>
    </row>
    <row r="3" spans="1:8" x14ac:dyDescent="0.25">
      <c r="A3" s="35" t="s">
        <v>7</v>
      </c>
      <c r="B3" s="60" t="s">
        <v>8</v>
      </c>
      <c r="C3" s="61"/>
      <c r="D3" s="64" t="s">
        <v>30</v>
      </c>
      <c r="E3" s="57" t="s">
        <v>31</v>
      </c>
      <c r="F3" s="57" t="s">
        <v>34</v>
      </c>
      <c r="G3" s="57" t="s">
        <v>32</v>
      </c>
      <c r="H3" s="58" t="s">
        <v>33</v>
      </c>
    </row>
    <row r="4" spans="1:8" x14ac:dyDescent="0.25">
      <c r="A4" s="35"/>
      <c r="B4" s="62"/>
      <c r="C4" s="63"/>
      <c r="D4" s="65"/>
      <c r="E4" s="57"/>
      <c r="F4" s="57"/>
      <c r="G4" s="57"/>
      <c r="H4" s="58"/>
    </row>
    <row r="5" spans="1:8" ht="17.25" customHeight="1" x14ac:dyDescent="0.25">
      <c r="A5" s="9">
        <v>1</v>
      </c>
      <c r="B5" s="13" t="s">
        <v>12</v>
      </c>
      <c r="C5" s="13" t="s">
        <v>13</v>
      </c>
      <c r="D5" s="18">
        <f>COUNTIF(cms!F11:G11,0)</f>
        <v>0</v>
      </c>
      <c r="E5" s="18">
        <f>COUNTIF(cms!H11:Y11,0)</f>
        <v>8</v>
      </c>
      <c r="F5" s="18">
        <f>COUNTIF(cms!Z11:AY11,0)</f>
        <v>0</v>
      </c>
      <c r="G5" s="18">
        <f>COUNTIF(cms!AZ11:BU11,0)</f>
        <v>0</v>
      </c>
      <c r="H5" s="19"/>
    </row>
    <row r="6" spans="1:8" ht="18" customHeight="1" x14ac:dyDescent="0.25">
      <c r="A6" s="9">
        <v>3</v>
      </c>
      <c r="B6" s="13" t="s">
        <v>14</v>
      </c>
      <c r="C6" s="13" t="s">
        <v>15</v>
      </c>
      <c r="D6" s="18">
        <f>COUNTIF(cms!F12:G12,0)</f>
        <v>2</v>
      </c>
      <c r="E6" s="18">
        <f>COUNTIF(cms!H12:Y12,0)</f>
        <v>13</v>
      </c>
      <c r="F6" s="18">
        <f>COUNTIF(cms!Z12:AY12,0)</f>
        <v>0</v>
      </c>
      <c r="G6" s="18">
        <f>COUNTIF(cms!AZ12:BU12,0)</f>
        <v>0</v>
      </c>
      <c r="H6" s="19"/>
    </row>
    <row r="7" spans="1:8" ht="14.25" customHeight="1" x14ac:dyDescent="0.25">
      <c r="A7" s="9">
        <v>4</v>
      </c>
      <c r="B7" s="13" t="s">
        <v>16</v>
      </c>
      <c r="C7" s="13" t="s">
        <v>17</v>
      </c>
      <c r="D7" s="18">
        <f>COUNTIF(cms!F13:G13,0)</f>
        <v>2</v>
      </c>
      <c r="E7" s="18">
        <f>COUNTIF(cms!H13:Y13,0)</f>
        <v>12</v>
      </c>
      <c r="F7" s="18">
        <f>COUNTIF(cms!Z13:AY13,0)</f>
        <v>0</v>
      </c>
      <c r="G7" s="18">
        <f>COUNTIF(cms!AZ13:BU13,0)</f>
        <v>0</v>
      </c>
      <c r="H7" s="19"/>
    </row>
    <row r="8" spans="1:8" ht="15" customHeight="1" x14ac:dyDescent="0.25">
      <c r="A8" s="9">
        <v>6</v>
      </c>
      <c r="B8" s="13" t="s">
        <v>18</v>
      </c>
      <c r="C8" s="13" t="s">
        <v>19</v>
      </c>
      <c r="D8" s="18">
        <f>COUNTIF(cms!F14:G14,0)</f>
        <v>2</v>
      </c>
      <c r="E8" s="18">
        <f>COUNTIF(cms!H14:Y14,0)</f>
        <v>13</v>
      </c>
      <c r="F8" s="18">
        <f>COUNTIF(cms!Z14:AY14,0)</f>
        <v>0</v>
      </c>
      <c r="G8" s="18">
        <f>COUNTIF(cms!AZ14:BU14,0)</f>
        <v>0</v>
      </c>
      <c r="H8" s="19"/>
    </row>
    <row r="9" spans="1:8" ht="18" customHeight="1" x14ac:dyDescent="0.25">
      <c r="A9" s="9">
        <v>7</v>
      </c>
      <c r="B9" s="13" t="s">
        <v>20</v>
      </c>
      <c r="C9" s="13" t="s">
        <v>21</v>
      </c>
      <c r="D9" s="18">
        <f>COUNTIF(cms!F15:G15,0)</f>
        <v>2</v>
      </c>
      <c r="E9" s="18">
        <f>COUNTIF(cms!H15:Y15,0)</f>
        <v>13</v>
      </c>
      <c r="F9" s="18">
        <f>COUNTIF(cms!Z15:AY15,0)</f>
        <v>0</v>
      </c>
      <c r="G9" s="18">
        <f>COUNTIF(cms!AZ15:BU15,0)</f>
        <v>0</v>
      </c>
      <c r="H9" s="19"/>
    </row>
    <row r="10" spans="1:8" ht="17.25" customHeight="1" x14ac:dyDescent="0.25">
      <c r="A10" s="9">
        <v>8</v>
      </c>
      <c r="B10" s="13" t="s">
        <v>22</v>
      </c>
      <c r="C10" s="13" t="s">
        <v>23</v>
      </c>
      <c r="D10" s="18">
        <f>COUNTIF(cms!F16:G16,0)</f>
        <v>0</v>
      </c>
      <c r="E10" s="18">
        <f>COUNTIF(cms!H16:Y16,0)</f>
        <v>10</v>
      </c>
      <c r="F10" s="18">
        <f>COUNTIF(cms!Z16:AY16,0)</f>
        <v>0</v>
      </c>
      <c r="G10" s="18">
        <f>COUNTIF(cms!AZ16:BU16,0)</f>
        <v>0</v>
      </c>
      <c r="H10" s="19"/>
    </row>
    <row r="11" spans="1:8" ht="13.5" customHeight="1" x14ac:dyDescent="0.25">
      <c r="A11" s="9">
        <v>10</v>
      </c>
      <c r="B11" s="13" t="s">
        <v>24</v>
      </c>
      <c r="C11" s="13" t="s">
        <v>25</v>
      </c>
      <c r="D11" s="18">
        <f>COUNTIF(cms!F17:G17,0)</f>
        <v>0</v>
      </c>
      <c r="E11" s="18">
        <f>COUNTIF(cms!H17:Y17,0)</f>
        <v>5</v>
      </c>
      <c r="F11" s="18">
        <f>COUNTIF(cms!Z17:AY17,0)</f>
        <v>0</v>
      </c>
      <c r="G11" s="18">
        <f>COUNTIF(cms!AZ17:BU17,0)</f>
        <v>0</v>
      </c>
      <c r="H11" s="19"/>
    </row>
    <row r="12" spans="1:8" x14ac:dyDescent="0.25">
      <c r="A12" s="9">
        <v>11</v>
      </c>
      <c r="B12" s="13" t="s">
        <v>26</v>
      </c>
      <c r="C12" s="13" t="s">
        <v>15</v>
      </c>
      <c r="D12" s="18">
        <f>COUNTIF(cms!F18:G18,0)</f>
        <v>0</v>
      </c>
      <c r="E12" s="18">
        <f>COUNTIF(cms!H18:Y18,0)</f>
        <v>13</v>
      </c>
      <c r="F12" s="18">
        <f>COUNTIF(cms!Z18:AY18,0)</f>
        <v>0</v>
      </c>
      <c r="G12" s="18">
        <f>COUNTIF(cms!AZ18:BU18,0)</f>
        <v>0</v>
      </c>
      <c r="H12" s="19"/>
    </row>
    <row r="13" spans="1:8" x14ac:dyDescent="0.25">
      <c r="A13" s="9">
        <v>11</v>
      </c>
      <c r="B13" s="10"/>
      <c r="C13" s="10"/>
      <c r="D13" s="19"/>
      <c r="E13" s="19"/>
      <c r="F13" s="19"/>
      <c r="G13" s="19"/>
      <c r="H13" s="19"/>
    </row>
    <row r="14" spans="1:8" x14ac:dyDescent="0.25">
      <c r="A14" s="9">
        <v>12</v>
      </c>
      <c r="B14" s="13"/>
      <c r="C14" s="10"/>
      <c r="D14" s="19"/>
      <c r="E14" s="19"/>
      <c r="F14" s="19"/>
      <c r="G14" s="19"/>
      <c r="H14" s="19"/>
    </row>
    <row r="15" spans="1:8" x14ac:dyDescent="0.25">
      <c r="A15" s="9">
        <v>13</v>
      </c>
      <c r="B15" s="10"/>
      <c r="C15" s="10"/>
      <c r="D15" s="19"/>
      <c r="E15" s="19"/>
      <c r="F15" s="19"/>
      <c r="G15" s="19"/>
      <c r="H15" s="19"/>
    </row>
    <row r="16" spans="1:8" x14ac:dyDescent="0.25">
      <c r="A16" s="9">
        <v>14</v>
      </c>
      <c r="B16" s="10"/>
      <c r="C16" s="10"/>
      <c r="D16" s="19"/>
      <c r="E16" s="19"/>
      <c r="F16" s="19"/>
      <c r="G16" s="19"/>
      <c r="H16" s="19"/>
    </row>
    <row r="17" spans="1:8" x14ac:dyDescent="0.25">
      <c r="A17" s="9">
        <v>15</v>
      </c>
      <c r="B17" s="10"/>
      <c r="C17" s="10"/>
      <c r="D17" s="19"/>
      <c r="E17" s="19"/>
      <c r="F17" s="19"/>
      <c r="G17" s="19"/>
      <c r="H17" s="19"/>
    </row>
    <row r="18" spans="1:8" x14ac:dyDescent="0.25">
      <c r="A18" s="9">
        <v>16</v>
      </c>
      <c r="B18" s="10"/>
      <c r="C18" s="10"/>
      <c r="D18" s="19"/>
      <c r="E18" s="19"/>
      <c r="F18" s="19"/>
      <c r="G18" s="19"/>
      <c r="H18" s="19"/>
    </row>
    <row r="19" spans="1:8" x14ac:dyDescent="0.25">
      <c r="A19" s="9">
        <v>17</v>
      </c>
      <c r="B19" s="10"/>
      <c r="C19" s="10"/>
      <c r="D19" s="19"/>
      <c r="E19" s="19"/>
      <c r="F19" s="19"/>
      <c r="G19" s="19"/>
      <c r="H19" s="19"/>
    </row>
    <row r="20" spans="1:8" x14ac:dyDescent="0.25">
      <c r="A20" s="9">
        <v>18</v>
      </c>
      <c r="B20" s="10"/>
      <c r="C20" s="10"/>
      <c r="D20" s="19"/>
      <c r="E20" s="19"/>
      <c r="F20" s="19"/>
      <c r="G20" s="19"/>
      <c r="H20" s="19"/>
    </row>
  </sheetData>
  <mergeCells count="9">
    <mergeCell ref="G3:G4"/>
    <mergeCell ref="H3:H4"/>
    <mergeCell ref="D2:H2"/>
    <mergeCell ref="B2:C2"/>
    <mergeCell ref="A3:A4"/>
    <mergeCell ref="B3:C4"/>
    <mergeCell ref="D3:D4"/>
    <mergeCell ref="E3:E4"/>
    <mergeCell ref="F3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cms</vt:lpstr>
      <vt:lpstr>გაცდენები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411</cp:lastModifiedBy>
  <cp:revision>74</cp:revision>
  <dcterms:created xsi:type="dcterms:W3CDTF">2015-06-05T18:17:20Z</dcterms:created>
  <dcterms:modified xsi:type="dcterms:W3CDTF">2026-10-23T05:52:50Z</dcterms:modified>
</cp:coreProperties>
</file>
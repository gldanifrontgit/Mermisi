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Mermisi-main\Journals\"/>
    </mc:Choice>
  </mc:AlternateContent>
  <bookViews>
    <workbookView xWindow="0" yWindow="0" windowWidth="28800" windowHeight="12435"/>
  </bookViews>
  <sheets>
    <sheet name="cm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DU1" i="1" l="1"/>
  <c r="G15" i="2" l="1"/>
  <c r="G14" i="2"/>
  <c r="G13" i="2"/>
  <c r="G12" i="2"/>
  <c r="G11" i="2"/>
  <c r="G10" i="2"/>
  <c r="G9" i="2"/>
  <c r="G8" i="2"/>
  <c r="G7" i="2"/>
  <c r="G6" i="2"/>
  <c r="F15" i="2"/>
  <c r="F14" i="2"/>
  <c r="F13" i="2"/>
  <c r="F12" i="2"/>
  <c r="F11" i="2"/>
  <c r="F10" i="2"/>
  <c r="F9" i="2"/>
  <c r="F8" i="2"/>
  <c r="F7" i="2"/>
  <c r="E15" i="2"/>
  <c r="E14" i="2"/>
  <c r="E13" i="2"/>
  <c r="E12" i="2"/>
  <c r="E11" i="2"/>
  <c r="E10" i="2"/>
  <c r="E9" i="2"/>
  <c r="E8" i="2"/>
  <c r="E7" i="2"/>
  <c r="D15" i="2"/>
  <c r="D14" i="2"/>
  <c r="D13" i="2"/>
  <c r="D12" i="2"/>
  <c r="D11" i="2"/>
  <c r="D10" i="2"/>
  <c r="D9" i="2"/>
  <c r="D8" i="2"/>
  <c r="D7" i="2"/>
  <c r="F6" i="2"/>
  <c r="F5" i="2"/>
  <c r="E6" i="2"/>
  <c r="D6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<sst xmlns="http://schemas.openxmlformats.org/spreadsheetml/2006/main" count="64" uniqueCount="45">
  <si>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</si>
  <si>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</si>
  <si>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</si>
  <si>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</si>
  <si>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</si>
  <si>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</si>
  <si>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</si>
  <si>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</si>
  <si>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</si>
  <si>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</si>
  <si>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</si>
  <si>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</si>
  <si>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</si>
  <si>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</si>
  <si>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ბუზალაძე</t>
  </si>
  <si>
    <t>ანანო</t>
  </si>
  <si>
    <t>გოგონაძე</t>
  </si>
  <si>
    <t>საბა</t>
  </si>
  <si>
    <t>ზუბიტაშვილი</t>
  </si>
  <si>
    <t>ქრისტინე</t>
  </si>
  <si>
    <t>კენჭიაშვილი</t>
  </si>
  <si>
    <t>ბექა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</si>
  <si>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</si>
  <si>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</si>
  <si>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</si>
  <si>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</si>
  <si>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</si>
  <si>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</si>
  <si>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</si>
  <si>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</si>
  <si>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</si>
  <si>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საკნელაშვილი</t>
  </si>
  <si>
    <t>თამარ</t>
  </si>
  <si>
    <t>ვებტექნოლოგიები,  ჯგუფი: 12-2024</t>
  </si>
  <si>
    <t>გავაცდინე ეს საათი</t>
  </si>
  <si>
    <t>წინა მასწავლებელმა ჩაატარა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</si>
  <si>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</si>
  <si>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</si>
  <si>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</si>
  <si>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</si>
  <si>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</si>
  <si>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</si>
  <si>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</si>
  <si>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`</t>
  </si>
  <si>
    <t>Angular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</si>
</sst>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0" fillId="3" borderId="0" xfId="0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5" xfId="0" applyFill="1" applyBorder="1" applyAlignment="1"/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0" fillId="6" borderId="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0" fillId="2" borderId="1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5" fillId="2" borderId="1" xfId="0" applyFont="1" applyFill="1" applyBorder="1" applyAlignment="1">
      <alignment horizontal="left" wrapText="1"/>
    </xf>
    <xf numFmtId="0" fontId="1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U31"/>
  <sheetViews>
    <sheetView tabSelected="1" zoomScaleNormal="100" workbookViewId="0">
      <selection activeCell="G28" sqref="G28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101" width="3.5703125" style="1"/>
    <col min="102" max="102" width="3.28515625" style="1" customWidth="1"/>
    <col min="103" max="103" width="3" style="1" customWidth="1"/>
    <col min="104" max="124" width="3.5703125" style="1"/>
    <col min="125" max="125" width="5.140625" style="1" customWidth="1"/>
    <col min="126" max="16384" width="3.5703125" style="1"/>
  </cols>
  <sheetData>
    <row r="1" spans="1:125" ht="16.5" customHeight="1" x14ac:dyDescent="0.25">
      <c r="A1" s="32" t="s">
        <v>33</v>
      </c>
      <c r="B1" s="33"/>
      <c r="C1" s="33"/>
      <c r="D1" s="34"/>
      <c r="F1" s="49">
        <v>4</v>
      </c>
      <c r="G1" s="50"/>
      <c r="H1" s="50"/>
      <c r="I1" s="51"/>
      <c r="J1" s="49">
        <v>4</v>
      </c>
      <c r="K1" s="50"/>
      <c r="L1" s="50"/>
      <c r="M1" s="51"/>
      <c r="N1" s="49">
        <v>4</v>
      </c>
      <c r="O1" s="50"/>
      <c r="P1" s="50"/>
      <c r="Q1" s="51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1">
        <f>SUM(F1:DT1)</f>
        <v>12</v>
      </c>
    </row>
    <row r="2" spans="1:125" ht="11.25" customHeight="1" x14ac:dyDescent="0.25">
      <c r="A2" s="35"/>
      <c r="B2" s="36"/>
      <c r="C2" s="36"/>
      <c r="D2" s="37"/>
      <c r="E2" s="38" t="s">
        <v>0</v>
      </c>
      <c r="F2" s="25">
        <v>46276</v>
      </c>
      <c r="G2" s="25">
        <v>46276</v>
      </c>
      <c r="H2" s="25">
        <v>46276</v>
      </c>
      <c r="I2" s="25">
        <v>46276</v>
      </c>
      <c r="J2" s="25">
        <v>46283</v>
      </c>
      <c r="K2" s="25">
        <v>46283</v>
      </c>
      <c r="L2" s="25">
        <v>46283</v>
      </c>
      <c r="M2" s="25">
        <v>46283</v>
      </c>
      <c r="N2" s="25">
        <v>46290</v>
      </c>
      <c r="O2" s="25">
        <v>46290</v>
      </c>
      <c r="P2" s="25">
        <v>46290</v>
      </c>
      <c r="Q2" s="25">
        <v>46290</v>
      </c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</row>
    <row r="3" spans="1:125" ht="27" customHeight="1" x14ac:dyDescent="0.25">
      <c r="A3" s="41" t="s">
        <v>44</v>
      </c>
      <c r="B3" s="41"/>
      <c r="C3" s="41"/>
      <c r="D3" s="41"/>
      <c r="E3" s="39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</row>
    <row r="4" spans="1:125" ht="24.75" customHeight="1" x14ac:dyDescent="0.25">
      <c r="A4" s="42" t="s">
        <v>1</v>
      </c>
      <c r="B4" s="42"/>
      <c r="C4" s="43" t="s">
        <v>2</v>
      </c>
      <c r="D4" s="44"/>
      <c r="E4" s="3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  <c r="CD4" s="25"/>
      <c r="CE4" s="25"/>
      <c r="CF4" s="25"/>
      <c r="CG4" s="25"/>
      <c r="CH4" s="25"/>
      <c r="CI4" s="25"/>
      <c r="CJ4" s="25"/>
      <c r="CK4" s="25"/>
      <c r="CL4" s="25"/>
      <c r="CM4" s="25"/>
      <c r="CN4" s="25"/>
      <c r="CO4" s="25"/>
      <c r="CP4" s="25"/>
      <c r="CQ4" s="25"/>
      <c r="CR4" s="25"/>
      <c r="CS4" s="25"/>
      <c r="CT4" s="25"/>
      <c r="CU4" s="25"/>
      <c r="CV4" s="25"/>
      <c r="CW4" s="25"/>
      <c r="CX4" s="25"/>
      <c r="CY4" s="25"/>
      <c r="CZ4" s="25"/>
      <c r="DA4" s="25"/>
      <c r="DB4" s="25"/>
      <c r="DC4" s="25"/>
      <c r="DD4" s="25"/>
      <c r="DE4" s="25"/>
      <c r="DF4" s="25"/>
      <c r="DG4" s="25"/>
      <c r="DH4" s="25"/>
      <c r="DI4" s="25"/>
      <c r="DJ4" s="25"/>
      <c r="DK4" s="25"/>
      <c r="DL4" s="25"/>
      <c r="DM4" s="25"/>
      <c r="DN4" s="25"/>
      <c r="DO4" s="25"/>
      <c r="DP4" s="25"/>
      <c r="DQ4" s="25"/>
      <c r="DR4" s="25"/>
      <c r="DS4" s="25"/>
      <c r="DT4" s="25"/>
    </row>
    <row r="5" spans="1:125" ht="16.5" customHeight="1" x14ac:dyDescent="0.25">
      <c r="A5" s="45" t="s">
        <v>3</v>
      </c>
      <c r="B5" s="45"/>
      <c r="C5" s="46">
        <v>60</v>
      </c>
      <c r="D5" s="47"/>
      <c r="E5" s="39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5"/>
      <c r="DF5" s="25"/>
      <c r="DG5" s="25"/>
      <c r="DH5" s="25"/>
      <c r="DI5" s="25"/>
      <c r="DJ5" s="25"/>
      <c r="DK5" s="25"/>
      <c r="DL5" s="25"/>
      <c r="DM5" s="25"/>
      <c r="DN5" s="25"/>
      <c r="DO5" s="25"/>
      <c r="DP5" s="25"/>
      <c r="DQ5" s="25"/>
      <c r="DR5" s="25"/>
      <c r="DS5" s="25"/>
      <c r="DT5" s="25"/>
    </row>
    <row r="6" spans="1:125" ht="16.5" customHeight="1" x14ac:dyDescent="0.25">
      <c r="A6" s="45" t="s">
        <v>4</v>
      </c>
      <c r="B6" s="45"/>
      <c r="C6" s="46">
        <v>4</v>
      </c>
      <c r="D6" s="47"/>
      <c r="E6" s="39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/>
      <c r="DQ6" s="25"/>
      <c r="DR6" s="25"/>
      <c r="DS6" s="25"/>
      <c r="DT6" s="25"/>
    </row>
    <row r="7" spans="1:125" ht="16.5" customHeight="1" x14ac:dyDescent="0.25">
      <c r="A7" s="48" t="s">
        <v>5</v>
      </c>
      <c r="B7" s="48"/>
      <c r="C7" s="46">
        <v>11</v>
      </c>
      <c r="D7" s="47"/>
      <c r="E7" s="40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6"/>
      <c r="DF7" s="26"/>
      <c r="DG7" s="26"/>
      <c r="DH7" s="26"/>
      <c r="DI7" s="26"/>
      <c r="DJ7" s="26"/>
      <c r="DK7" s="26"/>
      <c r="DL7" s="26"/>
      <c r="DM7" s="26"/>
      <c r="DN7" s="26"/>
      <c r="DO7" s="26"/>
      <c r="DP7" s="26"/>
      <c r="DQ7" s="26"/>
      <c r="DR7" s="26"/>
      <c r="DS7" s="26"/>
      <c r="DT7" s="26"/>
    </row>
    <row r="8" spans="1:125" ht="24" customHeight="1" x14ac:dyDescent="0.25">
      <c r="A8" s="52" t="s">
        <v>6</v>
      </c>
      <c r="B8" s="52"/>
      <c r="C8" s="53">
        <f>SUM(C5:D7)</f>
        <v>75</v>
      </c>
      <c r="D8" s="44"/>
      <c r="E8" s="3"/>
      <c r="F8" s="30">
        <v>1</v>
      </c>
      <c r="G8" s="30">
        <v>2</v>
      </c>
      <c r="H8" s="30">
        <v>3</v>
      </c>
      <c r="I8" s="30">
        <v>4</v>
      </c>
      <c r="J8" s="30">
        <v>5</v>
      </c>
      <c r="K8" s="30">
        <v>6</v>
      </c>
      <c r="L8" s="30">
        <v>7</v>
      </c>
      <c r="M8" s="30">
        <v>8</v>
      </c>
      <c r="N8" s="30">
        <v>9</v>
      </c>
      <c r="O8" s="30">
        <v>10</v>
      </c>
      <c r="P8" s="30">
        <v>11</v>
      </c>
      <c r="Q8" s="30">
        <v>12</v>
      </c>
      <c r="R8" s="30">
        <v>13</v>
      </c>
      <c r="S8" s="30">
        <v>14</v>
      </c>
      <c r="T8" s="30">
        <v>15</v>
      </c>
      <c r="U8" s="30">
        <v>16</v>
      </c>
      <c r="V8" s="30">
        <v>17</v>
      </c>
      <c r="W8" s="30">
        <v>18</v>
      </c>
      <c r="X8" s="30">
        <v>19</v>
      </c>
      <c r="Y8" s="30">
        <v>20</v>
      </c>
      <c r="Z8" s="30">
        <v>21</v>
      </c>
      <c r="AA8" s="30">
        <v>22</v>
      </c>
      <c r="AB8" s="30">
        <v>23</v>
      </c>
      <c r="AC8" s="30">
        <v>24</v>
      </c>
      <c r="AD8" s="30">
        <v>25</v>
      </c>
      <c r="AE8" s="30">
        <v>26</v>
      </c>
      <c r="AF8" s="30">
        <v>27</v>
      </c>
      <c r="AG8" s="30">
        <v>28</v>
      </c>
      <c r="AH8" s="30">
        <v>29</v>
      </c>
      <c r="AI8" s="30">
        <v>30</v>
      </c>
      <c r="AJ8" s="30">
        <v>31</v>
      </c>
      <c r="AK8" s="30">
        <v>32</v>
      </c>
      <c r="AL8" s="30">
        <v>33</v>
      </c>
      <c r="AM8" s="30">
        <v>34</v>
      </c>
      <c r="AN8" s="30">
        <v>35</v>
      </c>
      <c r="AO8" s="30">
        <v>36</v>
      </c>
      <c r="AP8" s="30">
        <v>37</v>
      </c>
      <c r="AQ8" s="30">
        <v>38</v>
      </c>
      <c r="AR8" s="30">
        <v>39</v>
      </c>
      <c r="AS8" s="30">
        <v>40</v>
      </c>
      <c r="AT8" s="30">
        <v>41</v>
      </c>
      <c r="AU8" s="30">
        <v>42</v>
      </c>
      <c r="AV8" s="30">
        <v>43</v>
      </c>
      <c r="AW8" s="30">
        <v>44</v>
      </c>
      <c r="AX8" s="30">
        <v>45</v>
      </c>
      <c r="AY8" s="30">
        <v>46</v>
      </c>
      <c r="AZ8" s="30">
        <v>47</v>
      </c>
      <c r="BA8" s="30">
        <v>48</v>
      </c>
      <c r="BB8" s="30">
        <v>49</v>
      </c>
      <c r="BC8" s="30">
        <v>50</v>
      </c>
      <c r="BD8" s="30">
        <v>51</v>
      </c>
      <c r="BE8" s="30">
        <v>52</v>
      </c>
      <c r="BF8" s="30">
        <v>53</v>
      </c>
      <c r="BG8" s="30">
        <v>54</v>
      </c>
      <c r="BH8" s="30">
        <v>55</v>
      </c>
      <c r="BI8" s="30">
        <v>56</v>
      </c>
      <c r="BJ8" s="30">
        <v>57</v>
      </c>
      <c r="BK8" s="30">
        <v>58</v>
      </c>
      <c r="BL8" s="30">
        <v>59</v>
      </c>
      <c r="BM8" s="30">
        <v>60</v>
      </c>
      <c r="BN8" s="30">
        <v>61</v>
      </c>
      <c r="BO8" s="30">
        <v>62</v>
      </c>
      <c r="BP8" s="30">
        <v>63</v>
      </c>
      <c r="BQ8" s="30">
        <v>64</v>
      </c>
      <c r="BR8" s="30">
        <v>65</v>
      </c>
      <c r="BS8" s="30">
        <v>66</v>
      </c>
      <c r="BT8" s="30">
        <v>67</v>
      </c>
      <c r="BU8" s="30">
        <v>68</v>
      </c>
      <c r="BV8" s="30">
        <v>69</v>
      </c>
      <c r="BW8" s="30">
        <v>70</v>
      </c>
      <c r="BX8" s="30">
        <v>71</v>
      </c>
      <c r="BY8" s="30">
        <v>72</v>
      </c>
      <c r="BZ8" s="30">
        <v>73</v>
      </c>
      <c r="CA8" s="30">
        <v>74</v>
      </c>
      <c r="CB8" s="30">
        <v>75</v>
      </c>
      <c r="CC8" s="30">
        <v>76</v>
      </c>
      <c r="CD8" s="30">
        <v>77</v>
      </c>
      <c r="CE8" s="30">
        <v>78</v>
      </c>
      <c r="CF8" s="30">
        <v>79</v>
      </c>
      <c r="CG8" s="30">
        <v>80</v>
      </c>
      <c r="CH8" s="30">
        <v>81</v>
      </c>
      <c r="CI8" s="30">
        <v>82</v>
      </c>
      <c r="CJ8" s="30">
        <v>83</v>
      </c>
      <c r="CK8" s="30">
        <v>84</v>
      </c>
      <c r="CL8" s="30">
        <v>85</v>
      </c>
      <c r="CM8" s="30">
        <v>86</v>
      </c>
      <c r="CN8" s="30">
        <v>87</v>
      </c>
      <c r="CO8" s="30">
        <v>88</v>
      </c>
      <c r="CP8" s="30">
        <v>89</v>
      </c>
      <c r="CQ8" s="30">
        <v>90</v>
      </c>
      <c r="CR8" s="30">
        <v>91</v>
      </c>
      <c r="CS8" s="30">
        <v>92</v>
      </c>
      <c r="CT8" s="30">
        <v>93</v>
      </c>
      <c r="CU8" s="30">
        <v>94</v>
      </c>
      <c r="CV8" s="30">
        <v>95</v>
      </c>
      <c r="CW8" s="30">
        <v>96</v>
      </c>
      <c r="CX8" s="30">
        <v>97</v>
      </c>
      <c r="CY8" s="30">
        <v>98</v>
      </c>
      <c r="CZ8" s="30">
        <v>99</v>
      </c>
      <c r="DA8" s="30">
        <v>100</v>
      </c>
      <c r="DB8" s="30">
        <v>101</v>
      </c>
      <c r="DC8" s="30">
        <v>102</v>
      </c>
      <c r="DD8" s="30">
        <v>103</v>
      </c>
      <c r="DE8" s="30">
        <v>104</v>
      </c>
      <c r="DF8" s="30">
        <v>105</v>
      </c>
      <c r="DG8" s="30">
        <v>106</v>
      </c>
      <c r="DH8" s="30">
        <v>107</v>
      </c>
      <c r="DI8" s="30">
        <v>108</v>
      </c>
      <c r="DJ8" s="30">
        <v>109</v>
      </c>
      <c r="DK8" s="30">
        <v>110</v>
      </c>
      <c r="DL8" s="30">
        <v>111</v>
      </c>
      <c r="DM8" s="30">
        <v>112</v>
      </c>
      <c r="DN8" s="30">
        <v>113</v>
      </c>
      <c r="DO8" s="30">
        <v>114</v>
      </c>
      <c r="DP8" s="30">
        <v>115</v>
      </c>
      <c r="DQ8" s="30">
        <v>116</v>
      </c>
      <c r="DR8" s="30">
        <v>117</v>
      </c>
      <c r="DS8" s="30">
        <v>118</v>
      </c>
      <c r="DT8" s="30">
        <v>119</v>
      </c>
    </row>
    <row r="9" spans="1:125" ht="16.5" customHeight="1" x14ac:dyDescent="0.25">
      <c r="A9" s="41" t="s">
        <v>7</v>
      </c>
      <c r="B9" s="54" t="s">
        <v>8</v>
      </c>
      <c r="C9" s="55" t="s">
        <v>9</v>
      </c>
      <c r="D9" s="54"/>
      <c r="E9" s="5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  <c r="BC9" s="31"/>
      <c r="BD9" s="31"/>
      <c r="BE9" s="31"/>
      <c r="BF9" s="31"/>
      <c r="BG9" s="31"/>
      <c r="BH9" s="31"/>
      <c r="BI9" s="31"/>
      <c r="BJ9" s="31"/>
      <c r="BK9" s="31"/>
      <c r="BL9" s="31"/>
      <c r="BM9" s="31"/>
      <c r="BN9" s="31"/>
      <c r="BO9" s="31"/>
      <c r="BP9" s="31"/>
      <c r="BQ9" s="31"/>
      <c r="BR9" s="31"/>
      <c r="BS9" s="31"/>
      <c r="BT9" s="31"/>
      <c r="BU9" s="31"/>
      <c r="BV9" s="31"/>
      <c r="BW9" s="31"/>
      <c r="BX9" s="31"/>
      <c r="BY9" s="31"/>
      <c r="BZ9" s="31"/>
      <c r="CA9" s="31"/>
      <c r="CB9" s="31"/>
      <c r="CC9" s="31"/>
      <c r="CD9" s="31"/>
      <c r="CE9" s="31"/>
      <c r="CF9" s="31"/>
      <c r="CG9" s="31"/>
      <c r="CH9" s="31"/>
      <c r="CI9" s="31"/>
      <c r="CJ9" s="31"/>
      <c r="CK9" s="31"/>
      <c r="CL9" s="31"/>
      <c r="CM9" s="31"/>
      <c r="CN9" s="31"/>
      <c r="CO9" s="31"/>
      <c r="CP9" s="31"/>
      <c r="CQ9" s="31"/>
      <c r="CR9" s="31"/>
      <c r="CS9" s="31"/>
      <c r="CT9" s="31"/>
      <c r="CU9" s="31"/>
      <c r="CV9" s="31"/>
      <c r="CW9" s="31"/>
      <c r="CX9" s="31"/>
      <c r="CY9" s="31"/>
      <c r="CZ9" s="31"/>
      <c r="DA9" s="31"/>
      <c r="DB9" s="31"/>
      <c r="DC9" s="31"/>
      <c r="DD9" s="31"/>
      <c r="DE9" s="31"/>
      <c r="DF9" s="31"/>
      <c r="DG9" s="31"/>
      <c r="DH9" s="31"/>
      <c r="DI9" s="31"/>
      <c r="DJ9" s="31"/>
      <c r="DK9" s="31"/>
      <c r="DL9" s="31"/>
      <c r="DM9" s="31"/>
      <c r="DN9" s="31"/>
      <c r="DO9" s="31"/>
      <c r="DP9" s="31"/>
      <c r="DQ9" s="31"/>
      <c r="DR9" s="31"/>
      <c r="DS9" s="31"/>
      <c r="DT9" s="31"/>
    </row>
    <row r="10" spans="1:125" ht="16.5" customHeight="1" x14ac:dyDescent="0.25">
      <c r="A10" s="41"/>
      <c r="B10" s="54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  <c r="CC10" s="8">
        <v>1</v>
      </c>
      <c r="CD10" s="8">
        <v>1</v>
      </c>
      <c r="CE10" s="8">
        <v>1</v>
      </c>
      <c r="CF10" s="8">
        <v>1</v>
      </c>
      <c r="CG10" s="8">
        <v>1</v>
      </c>
      <c r="CH10" s="8">
        <v>1</v>
      </c>
      <c r="CI10" s="8">
        <v>1</v>
      </c>
      <c r="CJ10" s="8">
        <v>1</v>
      </c>
      <c r="CK10" s="8">
        <v>1</v>
      </c>
      <c r="CL10" s="8">
        <v>1</v>
      </c>
      <c r="CM10" s="8">
        <v>1</v>
      </c>
      <c r="CN10" s="8">
        <v>1</v>
      </c>
      <c r="CO10" s="8">
        <v>1</v>
      </c>
      <c r="CP10" s="8">
        <v>1</v>
      </c>
      <c r="CQ10" s="8">
        <v>1</v>
      </c>
      <c r="CR10" s="8">
        <v>1</v>
      </c>
      <c r="CS10" s="8">
        <v>1</v>
      </c>
      <c r="CT10" s="8">
        <v>1</v>
      </c>
      <c r="CU10" s="8">
        <v>1</v>
      </c>
      <c r="CV10" s="8">
        <v>1</v>
      </c>
      <c r="CW10" s="8">
        <v>1</v>
      </c>
      <c r="CX10" s="8">
        <v>1</v>
      </c>
      <c r="CY10" s="8">
        <v>1</v>
      </c>
      <c r="CZ10" s="8">
        <v>1</v>
      </c>
      <c r="DA10" s="8">
        <v>1</v>
      </c>
      <c r="DB10" s="8">
        <v>1</v>
      </c>
      <c r="DC10" s="8">
        <v>1</v>
      </c>
      <c r="DD10" s="8">
        <v>1</v>
      </c>
      <c r="DE10" s="8">
        <v>1</v>
      </c>
      <c r="DF10" s="8">
        <v>1</v>
      </c>
      <c r="DG10" s="8">
        <v>1</v>
      </c>
      <c r="DH10" s="8">
        <v>1</v>
      </c>
      <c r="DI10" s="8">
        <v>1</v>
      </c>
      <c r="DJ10" s="8">
        <v>1</v>
      </c>
      <c r="DK10" s="8">
        <v>1</v>
      </c>
      <c r="DL10" s="8">
        <v>1</v>
      </c>
      <c r="DM10" s="8">
        <v>1</v>
      </c>
      <c r="DN10" s="8">
        <v>1</v>
      </c>
      <c r="DO10" s="8">
        <v>1</v>
      </c>
      <c r="DP10" s="8">
        <v>1</v>
      </c>
      <c r="DQ10" s="8">
        <v>1</v>
      </c>
      <c r="DR10" s="8">
        <v>1</v>
      </c>
      <c r="DS10" s="8">
        <v>1</v>
      </c>
      <c r="DT10" s="8">
        <v>1</v>
      </c>
    </row>
    <row r="11" spans="1:125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COUNT(F11:DT11)</f>
        <v>0</v>
      </c>
      <c r="E11" s="15">
        <f>D11/C5</f>
        <v>0</v>
      </c>
      <c r="F11" s="3"/>
      <c r="G11" s="3"/>
      <c r="H11" s="3" t="s">
        <v>43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5" ht="16.5" customHeight="1" x14ac:dyDescent="0.25">
      <c r="A12" s="9">
        <v>3</v>
      </c>
      <c r="B12" s="13" t="s">
        <v>16</v>
      </c>
      <c r="C12" s="13" t="s">
        <v>17</v>
      </c>
      <c r="D12" s="11">
        <f t="shared" si="0"/>
        <v>0</v>
      </c>
      <c r="E12" s="15">
        <f>D12/C5</f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5" ht="16.5" customHeight="1" x14ac:dyDescent="0.25">
      <c r="A13" s="9">
        <v>4</v>
      </c>
      <c r="B13" s="13" t="s">
        <v>18</v>
      </c>
      <c r="C13" s="13" t="s">
        <v>19</v>
      </c>
      <c r="D13" s="11">
        <f t="shared" si="0"/>
        <v>0</v>
      </c>
      <c r="E13" s="15">
        <f>D13/C5</f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5" ht="16.5" customHeight="1" x14ac:dyDescent="0.25">
      <c r="A14" s="9">
        <v>6</v>
      </c>
      <c r="B14" s="13" t="s">
        <v>22</v>
      </c>
      <c r="C14" s="13" t="s">
        <v>23</v>
      </c>
      <c r="D14" s="11">
        <f t="shared" si="0"/>
        <v>0</v>
      </c>
      <c r="E14" s="15">
        <f>D14/C5</f>
        <v>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5" ht="16.5" customHeight="1" x14ac:dyDescent="0.25">
      <c r="A15" s="9">
        <v>7</v>
      </c>
      <c r="B15" s="13" t="s">
        <v>24</v>
      </c>
      <c r="C15" s="13" t="s">
        <v>25</v>
      </c>
      <c r="D15" s="11">
        <f>COUNT(F15:DT15)</f>
        <v>0</v>
      </c>
      <c r="E15" s="15">
        <f>D15/C5</f>
        <v>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5" ht="16.5" customHeight="1" x14ac:dyDescent="0.25">
      <c r="A16" s="9">
        <v>8</v>
      </c>
      <c r="B16" s="13" t="s">
        <v>26</v>
      </c>
      <c r="C16" s="13" t="s">
        <v>27</v>
      </c>
      <c r="D16" s="11">
        <f t="shared" si="0"/>
        <v>0</v>
      </c>
      <c r="E16" s="15">
        <f>D16/C5</f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ht="16.5" customHeight="1" x14ac:dyDescent="0.25">
      <c r="A17" s="9">
        <v>10</v>
      </c>
      <c r="B17" s="13" t="s">
        <v>28</v>
      </c>
      <c r="C17" s="13" t="s">
        <v>29</v>
      </c>
      <c r="D17" s="11">
        <f t="shared" si="0"/>
        <v>2</v>
      </c>
      <c r="E17" s="15">
        <f>D17/C5</f>
        <v>3.3333333333333333E-2</v>
      </c>
      <c r="F17" s="3"/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ht="16.5" customHeight="1" x14ac:dyDescent="0.25">
      <c r="A18" s="9">
        <v>11</v>
      </c>
      <c r="B18" s="13" t="s">
        <v>30</v>
      </c>
      <c r="C18" s="13" t="s">
        <v>17</v>
      </c>
      <c r="D18" s="11">
        <f t="shared" si="0"/>
        <v>3</v>
      </c>
      <c r="E18" s="15">
        <f>D18/C5</f>
        <v>0.05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ht="16.5" customHeight="1" x14ac:dyDescent="0.25">
      <c r="A26" s="9">
        <v>18</v>
      </c>
      <c r="B26" s="10"/>
      <c r="C26" s="10"/>
      <c r="D26" s="11">
        <f t="shared" si="0"/>
        <v>0</v>
      </c>
      <c r="E26" s="5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  <c r="BU26" s="43"/>
      <c r="BV26" s="43"/>
      <c r="BW26" s="43"/>
      <c r="BX26" s="43"/>
      <c r="BY26" s="43"/>
      <c r="BZ26" s="43"/>
      <c r="CA26" s="43"/>
      <c r="CB26" s="43"/>
      <c r="CC26" s="43"/>
      <c r="CD26" s="43"/>
      <c r="CE26" s="43"/>
      <c r="CF26" s="43"/>
      <c r="CG26" s="43"/>
      <c r="CH26" s="43"/>
      <c r="CI26" s="43"/>
      <c r="CJ26" s="43"/>
      <c r="CK26" s="43"/>
      <c r="CL26" s="43"/>
      <c r="CM26" s="43"/>
      <c r="CN26" s="43"/>
      <c r="CO26" s="43"/>
      <c r="CP26" s="43"/>
      <c r="CQ26" s="43"/>
      <c r="CR26" s="43"/>
      <c r="CS26" s="43"/>
      <c r="CT26" s="43"/>
      <c r="CU26" s="43"/>
      <c r="CV26" s="43"/>
      <c r="CW26" s="43"/>
      <c r="CX26" s="43"/>
      <c r="CY26" s="43"/>
      <c r="CZ26" s="43"/>
      <c r="DA26" s="43"/>
      <c r="DB26" s="43"/>
      <c r="DC26" s="43"/>
      <c r="DD26" s="43"/>
      <c r="DE26" s="43"/>
      <c r="DF26" s="43"/>
      <c r="DG26" s="43"/>
      <c r="DH26" s="43"/>
      <c r="DI26" s="43"/>
      <c r="DJ26" s="43"/>
      <c r="DK26" s="43"/>
      <c r="DL26" s="43"/>
      <c r="DM26" s="43"/>
      <c r="DN26" s="43"/>
      <c r="DO26" s="43"/>
      <c r="DP26" s="43"/>
      <c r="DQ26" s="43"/>
      <c r="DR26" s="43"/>
      <c r="DS26" s="43"/>
      <c r="DT26" s="43"/>
    </row>
    <row r="27" spans="1:124" ht="16.5" customHeight="1" x14ac:dyDescent="0.25">
      <c r="E27" s="1">
        <v>4</v>
      </c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8"/>
      <c r="CF27" s="29"/>
      <c r="CG27" s="29"/>
      <c r="CH27" s="29"/>
      <c r="CI27" s="29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  <c r="DA27" s="29"/>
      <c r="DB27" s="29"/>
      <c r="DC27" s="29"/>
      <c r="DD27" s="29"/>
      <c r="DE27" s="29"/>
      <c r="DF27" s="29"/>
      <c r="DG27" s="29"/>
      <c r="DH27" s="29"/>
      <c r="DI27" s="29"/>
      <c r="DJ27" s="29"/>
      <c r="DK27" s="29"/>
      <c r="DL27" s="29"/>
      <c r="DM27" s="29"/>
      <c r="DN27" s="29"/>
      <c r="DO27" s="29"/>
      <c r="DP27" s="29"/>
      <c r="DQ27" s="29"/>
      <c r="DR27" s="29"/>
      <c r="DS27" s="29"/>
      <c r="DT27" s="29"/>
    </row>
    <row r="29" spans="1:124" ht="16.5" customHeight="1" x14ac:dyDescent="0.25">
      <c r="E29" s="22">
        <f>SUM(E11:E18)/8</f>
        <v>1.0416666666666668E-2</v>
      </c>
      <c r="AJ29" s="16"/>
      <c r="AK29" s="17" t="s">
        <v>34</v>
      </c>
    </row>
    <row r="30" spans="1:124" ht="16.5" customHeight="1" x14ac:dyDescent="0.25">
      <c r="AJ30" s="18"/>
      <c r="AK30" s="17" t="s">
        <v>35</v>
      </c>
    </row>
    <row r="31" spans="1:124" ht="16.5" customHeight="1" x14ac:dyDescent="0.25">
      <c r="AJ31" s="21"/>
      <c r="AK31" s="1" t="s">
        <v>42</v>
      </c>
    </row>
  </sheetData>
  <mergeCells count="262">
    <mergeCell ref="N1:Q1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BO8:BO9"/>
    <mergeCell ref="BP8:BP9"/>
    <mergeCell ref="BQ8:BQ9"/>
    <mergeCell ref="BR8:BR9"/>
    <mergeCell ref="BS8:BS9"/>
    <mergeCell ref="BT8:BT9"/>
    <mergeCell ref="BZ8:BZ9"/>
    <mergeCell ref="CA8:CA9"/>
    <mergeCell ref="BH8:BH9"/>
    <mergeCell ref="BI8:BI9"/>
    <mergeCell ref="BJ8:BJ9"/>
    <mergeCell ref="BK8:BK9"/>
    <mergeCell ref="BL8:BL9"/>
    <mergeCell ref="BM8:BM9"/>
    <mergeCell ref="CB8:CB9"/>
    <mergeCell ref="CC8:CC9"/>
    <mergeCell ref="CD8:CD9"/>
    <mergeCell ref="CE8:CE9"/>
    <mergeCell ref="CF8:CF9"/>
    <mergeCell ref="CV8:CV9"/>
    <mergeCell ref="BQ2:BQ7"/>
    <mergeCell ref="BR2:BR7"/>
    <mergeCell ref="BS2:BS7"/>
    <mergeCell ref="BT2:BT7"/>
    <mergeCell ref="BU2:BU7"/>
    <mergeCell ref="BV2:BV7"/>
    <mergeCell ref="CO8:CO9"/>
    <mergeCell ref="CP8:CP9"/>
    <mergeCell ref="CH2:CH7"/>
    <mergeCell ref="CT8:CT9"/>
    <mergeCell ref="CU8:CU9"/>
    <mergeCell ref="CB2:CB7"/>
    <mergeCell ref="CC2:CC7"/>
    <mergeCell ref="CD2:CD7"/>
    <mergeCell ref="CE2:CE7"/>
    <mergeCell ref="CF2:CF7"/>
    <mergeCell ref="CG2:CG7"/>
    <mergeCell ref="CJ8:CJ9"/>
    <mergeCell ref="E26:DT26"/>
    <mergeCell ref="DF8:DF9"/>
    <mergeCell ref="DQ8:DQ9"/>
    <mergeCell ref="DR8:DR9"/>
    <mergeCell ref="DS8:DS9"/>
    <mergeCell ref="DT8:DT9"/>
    <mergeCell ref="CY8:CY9"/>
    <mergeCell ref="CZ8:CZ9"/>
    <mergeCell ref="CM8:CM9"/>
    <mergeCell ref="CW8:CW9"/>
    <mergeCell ref="CX8:CX9"/>
    <mergeCell ref="BU8:BU9"/>
    <mergeCell ref="BV8:BV9"/>
    <mergeCell ref="BW8:BW9"/>
    <mergeCell ref="BF8:BF9"/>
    <mergeCell ref="BG8:BG9"/>
    <mergeCell ref="CG8:CG9"/>
    <mergeCell ref="CH8:CH9"/>
    <mergeCell ref="AW8:AW9"/>
    <mergeCell ref="AX8:AX9"/>
    <mergeCell ref="AY8:AY9"/>
    <mergeCell ref="AZ8:AZ9"/>
    <mergeCell ref="BA8:BA9"/>
    <mergeCell ref="BB8:BB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J1:M1"/>
    <mergeCell ref="F1:I1"/>
    <mergeCell ref="M2:M7"/>
    <mergeCell ref="N2:N7"/>
    <mergeCell ref="O2:O7"/>
    <mergeCell ref="P2:P7"/>
    <mergeCell ref="Q2:Q7"/>
    <mergeCell ref="R2:R7"/>
    <mergeCell ref="S2:S7"/>
    <mergeCell ref="T2:T7"/>
    <mergeCell ref="CN8:CN9"/>
    <mergeCell ref="Y2:Y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K2:AK7"/>
    <mergeCell ref="AL2:AL7"/>
    <mergeCell ref="AM2:AM7"/>
    <mergeCell ref="AN2:AN7"/>
    <mergeCell ref="AO2:AO7"/>
    <mergeCell ref="CW2:CW7"/>
    <mergeCell ref="CU2:CU7"/>
    <mergeCell ref="CV2:CV7"/>
    <mergeCell ref="CQ2:CQ7"/>
    <mergeCell ref="CR2:CR7"/>
    <mergeCell ref="CS2:CS7"/>
    <mergeCell ref="CT2:CT7"/>
    <mergeCell ref="CI2:CI7"/>
    <mergeCell ref="CJ2:CJ7"/>
    <mergeCell ref="CK2:CK7"/>
    <mergeCell ref="CL2:CL7"/>
    <mergeCell ref="CM2:CM7"/>
    <mergeCell ref="CN2:CN7"/>
    <mergeCell ref="CO2:CO7"/>
    <mergeCell ref="CP2:CP7"/>
    <mergeCell ref="AG2:AG7"/>
    <mergeCell ref="U2:U7"/>
    <mergeCell ref="V2:V7"/>
    <mergeCell ref="W2:W7"/>
    <mergeCell ref="X2:X7"/>
    <mergeCell ref="AF2:AF7"/>
    <mergeCell ref="AX2:AX7"/>
    <mergeCell ref="AY2:AY7"/>
    <mergeCell ref="AZ2:AZ7"/>
    <mergeCell ref="BL2:BL7"/>
    <mergeCell ref="BA2:BA7"/>
    <mergeCell ref="BB2:BB7"/>
    <mergeCell ref="BC2:BC7"/>
    <mergeCell ref="AP2:AP7"/>
    <mergeCell ref="AQ2:AQ7"/>
    <mergeCell ref="AR2:AR7"/>
    <mergeCell ref="AS2:AS7"/>
    <mergeCell ref="AT2:AT7"/>
    <mergeCell ref="AU2:AU7"/>
    <mergeCell ref="AV2:AV7"/>
    <mergeCell ref="AW2:AW7"/>
    <mergeCell ref="CK8:CK9"/>
    <mergeCell ref="CL8:CL9"/>
    <mergeCell ref="BX8:BX9"/>
    <mergeCell ref="BY8:BY9"/>
    <mergeCell ref="DL2:DL7"/>
    <mergeCell ref="DM2:DM7"/>
    <mergeCell ref="DF2:DF7"/>
    <mergeCell ref="BD2:BD7"/>
    <mergeCell ref="BE2:BE7"/>
    <mergeCell ref="BF2:BF7"/>
    <mergeCell ref="BG2:BG7"/>
    <mergeCell ref="BM2:BM7"/>
    <mergeCell ref="BN2:BN7"/>
    <mergeCell ref="BO2:BO7"/>
    <mergeCell ref="BP2:BP7"/>
    <mergeCell ref="CA2:CA7"/>
    <mergeCell ref="BW2:BW7"/>
    <mergeCell ref="BX2:BX7"/>
    <mergeCell ref="BY2:BY7"/>
    <mergeCell ref="BZ2:BZ7"/>
    <mergeCell ref="BH2:BH7"/>
    <mergeCell ref="BI2:BI7"/>
    <mergeCell ref="BJ2:BJ7"/>
    <mergeCell ref="BK2:BK7"/>
    <mergeCell ref="F27:S27"/>
    <mergeCell ref="T27:AW27"/>
    <mergeCell ref="AX27:CD27"/>
    <mergeCell ref="CE27:DT27"/>
    <mergeCell ref="DG8:DG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  <mergeCell ref="DA8:DA9"/>
    <mergeCell ref="DB8:DB9"/>
    <mergeCell ref="DC8:DC9"/>
    <mergeCell ref="DD8:DD9"/>
    <mergeCell ref="DE8:DE9"/>
    <mergeCell ref="CQ8:CQ9"/>
    <mergeCell ref="CR8:CR9"/>
    <mergeCell ref="CS8:CS9"/>
    <mergeCell ref="BN8:BN9"/>
    <mergeCell ref="CI8:CI9"/>
    <mergeCell ref="DQ2:DQ7"/>
    <mergeCell ref="DR2:DR7"/>
    <mergeCell ref="DS2:DS7"/>
    <mergeCell ref="DT2:DT7"/>
    <mergeCell ref="CX2:CX7"/>
    <mergeCell ref="CY2:CY7"/>
    <mergeCell ref="DA2:DA7"/>
    <mergeCell ref="DB2:DB7"/>
    <mergeCell ref="DC2:DC7"/>
    <mergeCell ref="DD2:DD7"/>
    <mergeCell ref="DE2:DE7"/>
    <mergeCell ref="CZ2:CZ7"/>
    <mergeCell ref="DN2:DN7"/>
    <mergeCell ref="DO2:DO7"/>
    <mergeCell ref="DP2:DP7"/>
    <mergeCell ref="DG2:DG7"/>
    <mergeCell ref="DH2:DH7"/>
    <mergeCell ref="DI2:DI7"/>
    <mergeCell ref="DJ2:DJ7"/>
    <mergeCell ref="DK2:DK7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3"/>
  <sheetViews>
    <sheetView zoomScale="130" zoomScaleNormal="130" workbookViewId="0">
      <selection activeCell="I11" sqref="I11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58"/>
      <c r="C2" s="58"/>
      <c r="D2" s="57" t="s">
        <v>41</v>
      </c>
      <c r="E2" s="57"/>
      <c r="F2" s="57"/>
      <c r="G2" s="57"/>
      <c r="H2" s="57"/>
    </row>
    <row r="3" spans="1:8" x14ac:dyDescent="0.25">
      <c r="A3" s="41" t="s">
        <v>7</v>
      </c>
      <c r="B3" s="59" t="s">
        <v>8</v>
      </c>
      <c r="C3" s="60"/>
      <c r="D3" s="63" t="s">
        <v>36</v>
      </c>
      <c r="E3" s="56" t="s">
        <v>37</v>
      </c>
      <c r="F3" s="56" t="s">
        <v>40</v>
      </c>
      <c r="G3" s="56" t="s">
        <v>38</v>
      </c>
      <c r="H3" s="57" t="s">
        <v>39</v>
      </c>
    </row>
    <row r="4" spans="1:8" x14ac:dyDescent="0.25">
      <c r="A4" s="41"/>
      <c r="B4" s="61"/>
      <c r="C4" s="62"/>
      <c r="D4" s="64"/>
      <c r="E4" s="56"/>
      <c r="F4" s="56"/>
      <c r="G4" s="56"/>
      <c r="H4" s="57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9">
        <f>COUNTIF(cms!F11:G11,0)</f>
        <v>0</v>
      </c>
      <c r="E5" s="19">
        <f>COUNTIF(cms!H11:Y11,0)</f>
        <v>0</v>
      </c>
      <c r="F5" s="19">
        <f>COUNTIF(cms!Z11:AY11,0)</f>
        <v>0</v>
      </c>
      <c r="G5" s="19">
        <f>COUNTIF(cms!AZ11:BU11,0)</f>
        <v>0</v>
      </c>
      <c r="H5" s="20"/>
    </row>
    <row r="6" spans="1:8" ht="17.25" customHeight="1" x14ac:dyDescent="0.25">
      <c r="A6" s="9">
        <v>2</v>
      </c>
      <c r="B6" s="13" t="s">
        <v>14</v>
      </c>
      <c r="C6" s="13" t="s">
        <v>15</v>
      </c>
      <c r="D6" s="19" t="e">
        <f>COUNTIF(cms!#REF!,0)</f>
        <v>#REF!</v>
      </c>
      <c r="E6" s="19" t="e">
        <f>COUNTIF(cms!#REF!,0)</f>
        <v>#REF!</v>
      </c>
      <c r="F6" s="19" t="e">
        <f>COUNTIF(cms!#REF!,0)</f>
        <v>#REF!</v>
      </c>
      <c r="G6" s="19" t="e">
        <f>COUNTIF(cms!#REF!,0)</f>
        <v>#REF!</v>
      </c>
      <c r="H6" s="20"/>
    </row>
    <row r="7" spans="1:8" ht="18" customHeight="1" x14ac:dyDescent="0.25">
      <c r="A7" s="9">
        <v>3</v>
      </c>
      <c r="B7" s="13" t="s">
        <v>16</v>
      </c>
      <c r="C7" s="13" t="s">
        <v>17</v>
      </c>
      <c r="D7" s="19">
        <f>COUNTIF(cms!F12:G12,0)</f>
        <v>0</v>
      </c>
      <c r="E7" s="19">
        <f>COUNTIF(cms!H12:Y12,0)</f>
        <v>0</v>
      </c>
      <c r="F7" s="19">
        <f>COUNTIF(cms!Z12:AY12,0)</f>
        <v>0</v>
      </c>
      <c r="G7" s="19">
        <f>COUNTIF(cms!AZ12:BU12,0)</f>
        <v>0</v>
      </c>
      <c r="H7" s="20"/>
    </row>
    <row r="8" spans="1:8" ht="14.25" customHeight="1" x14ac:dyDescent="0.25">
      <c r="A8" s="9">
        <v>4</v>
      </c>
      <c r="B8" s="13" t="s">
        <v>18</v>
      </c>
      <c r="C8" s="13" t="s">
        <v>19</v>
      </c>
      <c r="D8" s="19">
        <f>COUNTIF(cms!F13:G13,0)</f>
        <v>0</v>
      </c>
      <c r="E8" s="19">
        <f>COUNTIF(cms!H13:Y13,0)</f>
        <v>0</v>
      </c>
      <c r="F8" s="19">
        <f>COUNTIF(cms!Z13:AY13,0)</f>
        <v>0</v>
      </c>
      <c r="G8" s="19">
        <f>COUNTIF(cms!AZ13:BU13,0)</f>
        <v>0</v>
      </c>
      <c r="H8" s="20"/>
    </row>
    <row r="9" spans="1:8" ht="15" customHeight="1" x14ac:dyDescent="0.25">
      <c r="A9" s="9">
        <v>5</v>
      </c>
      <c r="B9" s="14" t="s">
        <v>20</v>
      </c>
      <c r="C9" s="14" t="s">
        <v>21</v>
      </c>
      <c r="D9" s="19" t="e">
        <f>COUNTIF(cms!#REF!,0)</f>
        <v>#REF!</v>
      </c>
      <c r="E9" s="19" t="e">
        <f>COUNTIF(cms!#REF!,0)</f>
        <v>#REF!</v>
      </c>
      <c r="F9" s="19" t="e">
        <f>COUNTIF(cms!#REF!,0)</f>
        <v>#REF!</v>
      </c>
      <c r="G9" s="19" t="e">
        <f>COUNTIF(cms!#REF!,0)</f>
        <v>#REF!</v>
      </c>
      <c r="H9" s="20"/>
    </row>
    <row r="10" spans="1:8" ht="15" customHeight="1" x14ac:dyDescent="0.25">
      <c r="A10" s="9">
        <v>6</v>
      </c>
      <c r="B10" s="13" t="s">
        <v>22</v>
      </c>
      <c r="C10" s="13" t="s">
        <v>23</v>
      </c>
      <c r="D10" s="19">
        <f>COUNTIF(cms!F14:G14,0)</f>
        <v>0</v>
      </c>
      <c r="E10" s="19">
        <f>COUNTIF(cms!H14:Y14,0)</f>
        <v>0</v>
      </c>
      <c r="F10" s="19">
        <f>COUNTIF(cms!Z14:AY14,0)</f>
        <v>0</v>
      </c>
      <c r="G10" s="19">
        <f>COUNTIF(cms!AZ14:BU14,0)</f>
        <v>0</v>
      </c>
      <c r="H10" s="20"/>
    </row>
    <row r="11" spans="1:8" ht="18" customHeight="1" x14ac:dyDescent="0.25">
      <c r="A11" s="9">
        <v>7</v>
      </c>
      <c r="B11" s="13" t="s">
        <v>24</v>
      </c>
      <c r="C11" s="13" t="s">
        <v>25</v>
      </c>
      <c r="D11" s="19">
        <f>COUNTIF(cms!F15:G15,0)</f>
        <v>0</v>
      </c>
      <c r="E11" s="19">
        <f>COUNTIF(cms!H15:Y15,0)</f>
        <v>0</v>
      </c>
      <c r="F11" s="19">
        <f>COUNTIF(cms!Z15:AY15,0)</f>
        <v>0</v>
      </c>
      <c r="G11" s="19">
        <f>COUNTIF(cms!AZ15:BU15,0)</f>
        <v>0</v>
      </c>
      <c r="H11" s="20"/>
    </row>
    <row r="12" spans="1:8" ht="17.25" customHeight="1" x14ac:dyDescent="0.25">
      <c r="A12" s="9">
        <v>8</v>
      </c>
      <c r="B12" s="13" t="s">
        <v>26</v>
      </c>
      <c r="C12" s="13" t="s">
        <v>27</v>
      </c>
      <c r="D12" s="19">
        <f>COUNTIF(cms!F16:G16,0)</f>
        <v>0</v>
      </c>
      <c r="E12" s="19">
        <f>COUNTIF(cms!H16:Y16,0)</f>
        <v>0</v>
      </c>
      <c r="F12" s="19">
        <f>COUNTIF(cms!Z16:AY16,0)</f>
        <v>0</v>
      </c>
      <c r="G12" s="19">
        <f>COUNTIF(cms!AZ16:BU16,0)</f>
        <v>0</v>
      </c>
      <c r="H12" s="20"/>
    </row>
    <row r="13" spans="1:8" ht="14.25" customHeight="1" x14ac:dyDescent="0.25">
      <c r="A13" s="9">
        <v>9</v>
      </c>
      <c r="B13" s="14" t="s">
        <v>31</v>
      </c>
      <c r="C13" s="14" t="s">
        <v>32</v>
      </c>
      <c r="D13" s="19" t="e">
        <f>COUNTIF(cms!#REF!,0)</f>
        <v>#REF!</v>
      </c>
      <c r="E13" s="19" t="e">
        <f>COUNTIF(cms!#REF!,0)</f>
        <v>#REF!</v>
      </c>
      <c r="F13" s="19" t="e">
        <f>COUNTIF(cms!#REF!,0)</f>
        <v>#REF!</v>
      </c>
      <c r="G13" s="19" t="e">
        <f>COUNTIF(cms!#REF!,0)</f>
        <v>#REF!</v>
      </c>
      <c r="H13" s="20"/>
    </row>
    <row r="14" spans="1:8" ht="13.5" customHeight="1" x14ac:dyDescent="0.25">
      <c r="A14" s="9">
        <v>10</v>
      </c>
      <c r="B14" s="13" t="s">
        <v>28</v>
      </c>
      <c r="C14" s="13" t="s">
        <v>29</v>
      </c>
      <c r="D14" s="19">
        <f>COUNTIF(cms!F17:G17,0)</f>
        <v>1</v>
      </c>
      <c r="E14" s="19">
        <f>COUNTIF(cms!H17:Y17,0)</f>
        <v>1</v>
      </c>
      <c r="F14" s="19">
        <f>COUNTIF(cms!Z17:AY17,0)</f>
        <v>0</v>
      </c>
      <c r="G14" s="19">
        <f>COUNTIF(cms!AZ17:BU17,0)</f>
        <v>0</v>
      </c>
      <c r="H14" s="20"/>
    </row>
    <row r="15" spans="1:8" x14ac:dyDescent="0.25">
      <c r="A15" s="9">
        <v>11</v>
      </c>
      <c r="B15" s="13" t="s">
        <v>30</v>
      </c>
      <c r="C15" s="13" t="s">
        <v>17</v>
      </c>
      <c r="D15" s="19">
        <f>COUNTIF(cms!F18:G18,0)</f>
        <v>2</v>
      </c>
      <c r="E15" s="19">
        <f>COUNTIF(cms!H18:Y18,0)</f>
        <v>1</v>
      </c>
      <c r="F15" s="19">
        <f>COUNTIF(cms!Z18:AY18,0)</f>
        <v>0</v>
      </c>
      <c r="G15" s="19">
        <f>COUNTIF(cms!AZ18:BU18,0)</f>
        <v>0</v>
      </c>
      <c r="H15" s="20"/>
    </row>
    <row r="16" spans="1:8" x14ac:dyDescent="0.25">
      <c r="A16" s="9">
        <v>11</v>
      </c>
      <c r="B16" s="10"/>
      <c r="C16" s="10"/>
      <c r="D16" s="20"/>
      <c r="E16" s="20"/>
      <c r="F16" s="20"/>
      <c r="G16" s="20"/>
      <c r="H16" s="20"/>
    </row>
    <row r="17" spans="1:8" x14ac:dyDescent="0.25">
      <c r="A17" s="9">
        <v>12</v>
      </c>
      <c r="B17" s="13"/>
      <c r="C17" s="10"/>
      <c r="D17" s="20"/>
      <c r="E17" s="20"/>
      <c r="F17" s="20"/>
      <c r="G17" s="20"/>
      <c r="H17" s="20"/>
    </row>
    <row r="18" spans="1:8" x14ac:dyDescent="0.25">
      <c r="A18" s="9">
        <v>13</v>
      </c>
      <c r="B18" s="10"/>
      <c r="C18" s="10"/>
      <c r="D18" s="20"/>
      <c r="E18" s="20"/>
      <c r="F18" s="20"/>
      <c r="G18" s="20"/>
      <c r="H18" s="20"/>
    </row>
    <row r="19" spans="1:8" x14ac:dyDescent="0.25">
      <c r="A19" s="9">
        <v>14</v>
      </c>
      <c r="B19" s="10"/>
      <c r="C19" s="10"/>
      <c r="D19" s="20"/>
      <c r="E19" s="20"/>
      <c r="F19" s="20"/>
      <c r="G19" s="20"/>
      <c r="H19" s="20"/>
    </row>
    <row r="20" spans="1:8" x14ac:dyDescent="0.25">
      <c r="A20" s="9">
        <v>15</v>
      </c>
      <c r="B20" s="10"/>
      <c r="C20" s="10"/>
      <c r="D20" s="20"/>
      <c r="E20" s="20"/>
      <c r="F20" s="20"/>
      <c r="G20" s="20"/>
      <c r="H20" s="20"/>
    </row>
    <row r="21" spans="1:8" x14ac:dyDescent="0.25">
      <c r="A21" s="9">
        <v>16</v>
      </c>
      <c r="B21" s="10"/>
      <c r="C21" s="10"/>
      <c r="D21" s="20"/>
      <c r="E21" s="20"/>
      <c r="F21" s="20"/>
      <c r="G21" s="20"/>
      <c r="H21" s="20"/>
    </row>
    <row r="22" spans="1:8" x14ac:dyDescent="0.25">
      <c r="A22" s="9">
        <v>17</v>
      </c>
      <c r="B22" s="10"/>
      <c r="C22" s="10"/>
      <c r="D22" s="20"/>
      <c r="E22" s="20"/>
      <c r="F22" s="20"/>
      <c r="G22" s="20"/>
      <c r="H22" s="20"/>
    </row>
    <row r="23" spans="1:8" x14ac:dyDescent="0.25">
      <c r="A23" s="9">
        <v>18</v>
      </c>
      <c r="B23" s="10"/>
      <c r="C23" s="10"/>
      <c r="D23" s="20"/>
      <c r="E23" s="20"/>
      <c r="F23" s="20"/>
      <c r="G23" s="20"/>
      <c r="H23" s="20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2026-09-25T06:41:25Z</dcterms:modified>
</cp:coreProperties>
</file>
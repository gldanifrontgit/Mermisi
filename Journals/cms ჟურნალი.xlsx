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jsaProject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411\Desktop\12-2024 - web\0 -docs\"/>
    </mc:Choice>
  </mc:AlternateContent>
  <bookViews>
    <workbookView xWindow="0" yWindow="0" windowWidth="15360" windowHeight="7755"/>
  </bookViews>
  <sheets>
    <sheet name="cms" sheetId="1" r:id="rId1"/>
    <sheet name="გაცდენები" sheetId="2" r:id="rId2"/>
  </sheets>
  <calcPr calcId="152511"/>
</workbook>
</file>

<file path=xl/calcChain.xml><?xml version="1.0" encoding="utf-8"?>
<calcChain xmlns="http://schemas.openxmlformats.org/spreadsheetml/2006/main">
  <c r="CE27" i="1" l="1"/>
  <c r="G5" i="2"/>
  <c r="AX27" i="1"/>
  <c r="T27" i="1" l="1"/>
  <c r="F27" i="1"/>
  <c r="DU1" i="1" l="1"/>
  <c r="G15" i="2" l="1"/>
  <c r="G14" i="2"/>
  <c r="G13" i="2"/>
  <c r="G12" i="2"/>
  <c r="G11" i="2"/>
  <c r="G10" i="2"/>
  <c r="G9" i="2"/>
  <c r="G8" i="2"/>
  <c r="G7" i="2"/>
  <c r="G6" i="2"/>
  <c r="F15" i="2"/>
  <c r="F14" i="2"/>
  <c r="F13" i="2"/>
  <c r="F12" i="2"/>
  <c r="F11" i="2"/>
  <c r="F10" i="2"/>
  <c r="F9" i="2"/>
  <c r="F8" i="2"/>
  <c r="F7" i="2"/>
  <c r="E15" i="2"/>
  <c r="E14" i="2"/>
  <c r="E13" i="2"/>
  <c r="E12" i="2"/>
  <c r="E11" i="2"/>
  <c r="E10" i="2"/>
  <c r="E9" i="2"/>
  <c r="E8" i="2"/>
  <c r="E7" i="2"/>
  <c r="D15" i="2"/>
  <c r="D14" i="2"/>
  <c r="D13" i="2"/>
  <c r="D12" i="2"/>
  <c r="D11" i="2"/>
  <c r="D10" i="2"/>
  <c r="D9" i="2"/>
  <c r="D8" i="2"/>
  <c r="D7" i="2"/>
  <c r="F6" i="2"/>
  <c r="F5" i="2"/>
  <c r="E6" i="2"/>
  <c r="D6" i="2"/>
  <c r="E5" i="2"/>
  <c r="D5" i="2"/>
  <c r="D15" i="1" l="1"/>
  <c r="E15" i="1" s="1"/>
  <c r="D16" i="1"/>
  <c r="E16" i="1" s="1"/>
  <c r="C8" i="1" l="1"/>
  <c r="D19" i="1" l="1"/>
  <c r="D26" i="1"/>
  <c r="D25" i="1"/>
  <c r="D24" i="1"/>
  <c r="D23" i="1"/>
  <c r="D22" i="1"/>
  <c r="D21" i="1"/>
  <c r="D20" i="1"/>
  <c r="D18" i="1"/>
  <c r="E18" i="1" s="1"/>
  <c r="D17" i="1"/>
  <c r="E17" i="1" s="1"/>
  <c r="D14" i="1"/>
  <c r="E14" i="1" s="1"/>
  <c r="D13" i="1"/>
  <c r="E13" i="1" s="1"/>
  <c r="D12" i="1"/>
  <c r="E12" i="1" s="1"/>
  <c r="D11" i="1"/>
  <c r="E11" i="1" s="1"/>
  <c r="E29" i="1" l="1"/>
</calcChain>
</file>

<file path=xl/sharedStrings.xml><?xml version="1.0" encoding="utf-8"?>
<sst xmlns="http://schemas.openxmlformats.org/spreadsheetml/2006/main" count="63" uniqueCount="44">
  <si>
    <t>რიცხვი</t>
  </si>
  <si>
    <t>პროფესიული განათლების მასწავლებელი</t>
  </si>
  <si>
    <t>ლევან ჭუმბურიძე</t>
  </si>
  <si>
    <t>საკონტაქტო საათები</t>
  </si>
  <si>
    <t>შეფასება</t>
  </si>
  <si>
    <t>დამოუკიდებელი</t>
  </si>
  <si>
    <t>სულ-საათების ჯამური რაოდენობა</t>
  </si>
  <si>
    <t>N</t>
  </si>
  <si>
    <t>სახელი გვარი</t>
  </si>
  <si>
    <t>გაცდენილი საათები</t>
  </si>
  <si>
    <t>სულ</t>
  </si>
  <si>
    <t>%</t>
  </si>
  <si>
    <t>ბერიაშვილი</t>
  </si>
  <si>
    <t>ცოტნე</t>
  </si>
  <si>
    <t>ბუზალაძე</t>
  </si>
  <si>
    <t>ანანო</t>
  </si>
  <si>
    <t>გოგონაძე</t>
  </si>
  <si>
    <t>საბა</t>
  </si>
  <si>
    <t>ზუბიტაშვილი</t>
  </si>
  <si>
    <t>ქრისტინე</t>
  </si>
  <si>
    <t>კენჭიაშვილი</t>
  </si>
  <si>
    <t>ბექა</t>
  </si>
  <si>
    <t>კოტოიანი</t>
  </si>
  <si>
    <t>დენიელ</t>
  </si>
  <si>
    <t>მაისურაძე</t>
  </si>
  <si>
    <t>დავითი</t>
  </si>
  <si>
    <t>ჟორჟოლიანი</t>
  </si>
  <si>
    <t>დაჩი</t>
  </si>
  <si>
    <t xml:space="preserve">სამაკაშვილი </t>
  </si>
  <si>
    <t>სანდრო</t>
  </si>
  <si>
    <t>წიგნაძე</t>
  </si>
  <si>
    <t>საკნელაშვილი</t>
  </si>
  <si>
    <t>თამარ</t>
  </si>
  <si>
    <t>ვებგვერდის მართვის სისტემები cms</t>
  </si>
  <si>
    <t>ვებტექნოლოგიები,  ჯგუფი: 12-2024</t>
  </si>
  <si>
    <t>გავაცდინე ეს საათი</t>
  </si>
  <si>
    <t>წინა მასწავლებელმა ჩაატარა</t>
  </si>
  <si>
    <t>მარტი</t>
  </si>
  <si>
    <t>აპრილი</t>
  </si>
  <si>
    <t>ივნისი</t>
  </si>
  <si>
    <t>ივლისი</t>
  </si>
  <si>
    <t>მაისი</t>
  </si>
  <si>
    <t>გაცდენების რაოდენობა</t>
  </si>
  <si>
    <t>დადასტურება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</si>
</sst>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6" x14ac:knownFonts="1">
    <font>
      <sz val="11"/>
      <color theme="1"/>
      <name val="Calibri"/>
      <scheme val="minor"/>
    </font>
    <font>
      <sz val="9"/>
      <color theme="1"/>
      <name val="Sylfaen"/>
    </font>
    <font>
      <sz val="10"/>
      <color theme="1"/>
      <name val="Sylfaen"/>
    </font>
    <font>
      <b/>
      <sz val="9"/>
      <color indexed="2"/>
      <name val="Sylfaen"/>
    </font>
    <font>
      <b/>
      <sz val="9"/>
      <color theme="1"/>
      <name val="Sylfaen"/>
    </font>
    <font>
      <b/>
      <sz val="9"/>
      <color theme="1"/>
      <name val="Calibri"/>
      <scheme val="minor"/>
    </font>
    <font>
      <sz val="11"/>
      <name val="Sylfaen"/>
    </font>
    <font>
      <b/>
      <sz val="11"/>
      <color indexed="2"/>
      <name val="Sylfaen"/>
    </font>
    <font>
      <sz val="11"/>
      <color indexed="63"/>
      <name val="Sylfaen"/>
    </font>
    <font>
      <sz val="11"/>
      <color theme="1"/>
      <name val="Calibri"/>
      <scheme val="minor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9"/>
      <color theme="1"/>
      <name val="Sylfae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164" fontId="9" fillId="0" borderId="0" applyFont="0" applyFill="0" applyBorder="0" applyProtection="0"/>
  </cellStyleXfs>
  <cellXfs count="8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164" fontId="7" fillId="2" borderId="1" xfId="1" applyNumberFormat="1" applyFont="1" applyFill="1" applyBorder="1"/>
    <xf numFmtId="0" fontId="8" fillId="2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10" fontId="10" fillId="2" borderId="1" xfId="1" applyNumberFormat="1" applyFont="1" applyFill="1" applyBorder="1"/>
    <xf numFmtId="0" fontId="0" fillId="4" borderId="0" xfId="0" applyFill="1"/>
    <xf numFmtId="0" fontId="12" fillId="2" borderId="0" xfId="0" applyFont="1" applyFill="1"/>
    <xf numFmtId="0" fontId="0" fillId="3" borderId="0" xfId="0" applyFill="1"/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horizontal="center" vertical="top"/>
    </xf>
    <xf numFmtId="0" fontId="0" fillId="5" borderId="0" xfId="0" applyFill="1"/>
    <xf numFmtId="10" fontId="0" fillId="2" borderId="0" xfId="0" applyNumberFormat="1" applyFill="1"/>
    <xf numFmtId="0" fontId="0" fillId="2" borderId="1" xfId="0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14" fontId="2" fillId="4" borderId="8" xfId="0" applyNumberFormat="1" applyFont="1" applyFill="1" applyBorder="1" applyAlignment="1">
      <alignment horizontal="center" vertical="center" textRotation="90"/>
    </xf>
    <xf numFmtId="14" fontId="2" fillId="4" borderId="12" xfId="0" applyNumberFormat="1" applyFont="1" applyFill="1" applyBorder="1" applyAlignment="1">
      <alignment horizontal="center" vertical="center" textRotation="90"/>
    </xf>
    <xf numFmtId="14" fontId="2" fillId="2" borderId="8" xfId="0" applyNumberFormat="1" applyFont="1" applyFill="1" applyBorder="1" applyAlignment="1">
      <alignment horizontal="center" vertical="center" textRotation="90"/>
    </xf>
    <xf numFmtId="14" fontId="2" fillId="2" borderId="12" xfId="0" applyNumberFormat="1" applyFont="1" applyFill="1" applyBorder="1" applyAlignment="1">
      <alignment horizontal="center" vertical="center" textRotation="90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wrapText="1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1" fillId="2" borderId="1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textRotation="90"/>
    </xf>
    <xf numFmtId="0" fontId="1" fillId="2" borderId="8" xfId="0" applyFont="1" applyFill="1" applyBorder="1" applyAlignment="1">
      <alignment horizontal="center" vertical="center" textRotation="90"/>
    </xf>
    <xf numFmtId="0" fontId="1" fillId="2" borderId="12" xfId="0" applyFont="1" applyFill="1" applyBorder="1" applyAlignment="1">
      <alignment horizontal="center" vertical="center" textRotation="90"/>
    </xf>
    <xf numFmtId="14" fontId="2" fillId="3" borderId="8" xfId="0" applyNumberFormat="1" applyFont="1" applyFill="1" applyBorder="1" applyAlignment="1">
      <alignment horizontal="center" vertical="center" textRotation="90"/>
    </xf>
    <xf numFmtId="14" fontId="2" fillId="3" borderId="12" xfId="0" applyNumberFormat="1" applyFont="1" applyFill="1" applyBorder="1" applyAlignment="1">
      <alignment horizontal="center" vertical="center" textRotation="90"/>
    </xf>
    <xf numFmtId="14" fontId="2" fillId="5" borderId="8" xfId="0" applyNumberFormat="1" applyFont="1" applyFill="1" applyBorder="1" applyAlignment="1">
      <alignment horizontal="center" vertical="center" textRotation="90"/>
    </xf>
    <xf numFmtId="14" fontId="2" fillId="5" borderId="12" xfId="0" applyNumberFormat="1" applyFont="1" applyFill="1" applyBorder="1" applyAlignment="1">
      <alignment horizontal="center" vertical="center" textRotation="90"/>
    </xf>
    <xf numFmtId="14" fontId="2" fillId="2" borderId="7" xfId="0" applyNumberFormat="1" applyFont="1" applyFill="1" applyBorder="1" applyAlignment="1">
      <alignment horizontal="center" vertical="center" textRotation="90"/>
    </xf>
    <xf numFmtId="14" fontId="2" fillId="2" borderId="16" xfId="0" applyNumberFormat="1" applyFont="1" applyFill="1" applyBorder="1" applyAlignment="1">
      <alignment horizontal="center" vertical="center" textRotation="90"/>
    </xf>
    <xf numFmtId="14" fontId="2" fillId="2" borderId="6" xfId="0" applyNumberFormat="1" applyFont="1" applyFill="1" applyBorder="1" applyAlignment="1">
      <alignment horizontal="center" vertical="center" textRotation="90"/>
    </xf>
    <xf numFmtId="0" fontId="0" fillId="2" borderId="19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2" fillId="7" borderId="8" xfId="0" applyNumberFormat="1" applyFont="1" applyFill="1" applyBorder="1" applyAlignment="1">
      <alignment horizontal="center" vertical="center" textRotation="90"/>
    </xf>
    <xf numFmtId="14" fontId="2" fillId="7" borderId="12" xfId="0" applyNumberFormat="1" applyFont="1" applyFill="1" applyBorder="1" applyAlignment="1">
      <alignment horizontal="center" vertical="center" textRotation="90"/>
    </xf>
    <xf numFmtId="0" fontId="0" fillId="2" borderId="17" xfId="0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 vertical="center" textRotation="90"/>
    </xf>
    <xf numFmtId="14" fontId="2" fillId="5" borderId="16" xfId="0" applyNumberFormat="1" applyFont="1" applyFill="1" applyBorder="1" applyAlignment="1">
      <alignment horizontal="center" vertical="center" textRotation="90"/>
    </xf>
    <xf numFmtId="14" fontId="2" fillId="5" borderId="6" xfId="0" applyNumberFormat="1" applyFont="1" applyFill="1" applyBorder="1" applyAlignment="1">
      <alignment horizontal="center" vertical="center" textRotation="90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nlyoffice.com/jsaProject" Target="jsaProject.bin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31"/>
  <sheetViews>
    <sheetView tabSelected="1" topLeftCell="AZ1" workbookViewId="0">
      <selection activeCell="DB15" sqref="DB15"/>
    </sheetView>
  </sheetViews>
  <sheetFormatPr defaultColWidth="3.5703125" defaultRowHeight="16.5" customHeight="1" x14ac:dyDescent="0.25"/>
  <cols>
    <col min="1" max="1" width="3.5703125" style="2"/>
    <col min="2" max="3" width="21" style="1" customWidth="1"/>
    <col min="4" max="4" width="8" style="1" customWidth="1"/>
    <col min="5" max="5" width="14.5703125" style="1" customWidth="1"/>
    <col min="6" max="36" width="3.5703125" style="1"/>
    <col min="37" max="37" width="3.5703125" style="1" customWidth="1"/>
    <col min="38" max="101" width="3.5703125" style="1"/>
    <col min="102" max="102" width="3.28515625" style="1" customWidth="1"/>
    <col min="103" max="103" width="3" style="1" customWidth="1"/>
    <col min="104" max="124" width="3.5703125" style="1"/>
    <col min="125" max="125" width="5.140625" style="1" customWidth="1"/>
    <col min="126" max="16384" width="3.5703125" style="1"/>
  </cols>
  <sheetData>
    <row r="1" spans="1:125" ht="16.5" customHeight="1" x14ac:dyDescent="0.25">
      <c r="A1" s="47" t="s">
        <v>34</v>
      </c>
      <c r="B1" s="48"/>
      <c r="C1" s="48"/>
      <c r="D1" s="49"/>
      <c r="F1" s="26">
        <v>2</v>
      </c>
      <c r="G1" s="28"/>
      <c r="H1" s="23">
        <v>2</v>
      </c>
      <c r="I1" s="23"/>
      <c r="J1" s="27">
        <v>2</v>
      </c>
      <c r="K1" s="28"/>
      <c r="L1" s="26">
        <v>2</v>
      </c>
      <c r="M1" s="28"/>
      <c r="N1" s="26">
        <v>2</v>
      </c>
      <c r="O1" s="28"/>
      <c r="P1" s="26">
        <v>4</v>
      </c>
      <c r="Q1" s="27"/>
      <c r="R1" s="27"/>
      <c r="S1" s="28"/>
      <c r="T1" s="26">
        <v>2</v>
      </c>
      <c r="U1" s="28"/>
      <c r="V1" s="26">
        <v>4</v>
      </c>
      <c r="W1" s="27"/>
      <c r="X1" s="27"/>
      <c r="Y1" s="28"/>
      <c r="Z1" s="26">
        <v>2</v>
      </c>
      <c r="AA1" s="28"/>
      <c r="AB1" s="26">
        <v>4</v>
      </c>
      <c r="AC1" s="27"/>
      <c r="AD1" s="27"/>
      <c r="AE1" s="28"/>
      <c r="AF1" s="26">
        <v>2</v>
      </c>
      <c r="AG1" s="28"/>
      <c r="AH1" s="26">
        <v>4</v>
      </c>
      <c r="AI1" s="27"/>
      <c r="AJ1" s="27"/>
      <c r="AK1" s="28"/>
      <c r="AL1" s="26">
        <v>2</v>
      </c>
      <c r="AM1" s="28"/>
      <c r="AN1" s="26">
        <v>4</v>
      </c>
      <c r="AO1" s="27"/>
      <c r="AP1" s="27"/>
      <c r="AQ1" s="28"/>
      <c r="AR1" s="26">
        <v>2</v>
      </c>
      <c r="AS1" s="28"/>
      <c r="AT1" s="26">
        <v>4</v>
      </c>
      <c r="AU1" s="27"/>
      <c r="AV1" s="27"/>
      <c r="AW1" s="28"/>
      <c r="AX1" s="26">
        <v>2</v>
      </c>
      <c r="AY1" s="28"/>
      <c r="AZ1" s="26">
        <v>4</v>
      </c>
      <c r="BA1" s="27"/>
      <c r="BB1" s="27"/>
      <c r="BC1" s="28"/>
      <c r="BD1" s="26">
        <v>2</v>
      </c>
      <c r="BE1" s="28"/>
      <c r="BF1" s="26">
        <v>4</v>
      </c>
      <c r="BG1" s="27"/>
      <c r="BH1" s="27"/>
      <c r="BI1" s="28"/>
      <c r="BJ1" s="26">
        <v>2</v>
      </c>
      <c r="BK1" s="28"/>
      <c r="BL1" s="26">
        <v>4</v>
      </c>
      <c r="BM1" s="27"/>
      <c r="BN1" s="27"/>
      <c r="BO1" s="28"/>
      <c r="BP1" s="29"/>
      <c r="BQ1" s="30"/>
      <c r="BR1" s="26">
        <v>4</v>
      </c>
      <c r="BS1" s="27"/>
      <c r="BT1" s="27"/>
      <c r="BU1" s="28"/>
      <c r="BV1" s="26">
        <v>2</v>
      </c>
      <c r="BW1" s="28"/>
      <c r="BX1" s="26">
        <v>5</v>
      </c>
      <c r="BY1" s="27"/>
      <c r="BZ1" s="27"/>
      <c r="CA1" s="27"/>
      <c r="CB1" s="28"/>
      <c r="CC1" s="23">
        <v>2</v>
      </c>
      <c r="CD1" s="23"/>
      <c r="CE1" s="68">
        <v>5</v>
      </c>
      <c r="CF1" s="64"/>
      <c r="CG1" s="64"/>
      <c r="CH1" s="64"/>
      <c r="CI1" s="65"/>
      <c r="CJ1" s="63">
        <v>2</v>
      </c>
      <c r="CK1" s="65"/>
      <c r="CL1" s="63">
        <v>5</v>
      </c>
      <c r="CM1" s="64"/>
      <c r="CN1" s="64"/>
      <c r="CO1" s="64"/>
      <c r="CP1" s="65"/>
      <c r="CQ1" s="63">
        <v>7</v>
      </c>
      <c r="CR1" s="64"/>
      <c r="CS1" s="64"/>
      <c r="CT1" s="64"/>
      <c r="CU1" s="64"/>
      <c r="CV1" s="64"/>
      <c r="CW1" s="64"/>
      <c r="CX1" s="23">
        <v>5</v>
      </c>
      <c r="CY1" s="23"/>
      <c r="CZ1" s="23"/>
      <c r="DA1" s="23"/>
      <c r="DB1" s="23"/>
      <c r="DC1" s="75">
        <v>7</v>
      </c>
      <c r="DD1" s="76"/>
      <c r="DE1" s="76"/>
      <c r="DF1" s="76"/>
      <c r="DG1" s="76"/>
      <c r="DH1" s="76"/>
      <c r="DI1" s="77"/>
      <c r="DJ1" s="26">
        <v>5</v>
      </c>
      <c r="DK1" s="27"/>
      <c r="DL1" s="27"/>
      <c r="DM1" s="27"/>
      <c r="DN1" s="28"/>
      <c r="DO1" s="26">
        <v>6</v>
      </c>
      <c r="DP1" s="27"/>
      <c r="DQ1" s="27"/>
      <c r="DR1" s="27"/>
      <c r="DS1" s="27"/>
      <c r="DT1" s="28"/>
      <c r="DU1" s="1">
        <f>SUM(F1:DT1)</f>
        <v>117</v>
      </c>
    </row>
    <row r="2" spans="1:125" ht="11.25" customHeight="1" x14ac:dyDescent="0.25">
      <c r="A2" s="50"/>
      <c r="B2" s="51"/>
      <c r="C2" s="51"/>
      <c r="D2" s="52"/>
      <c r="E2" s="53" t="s">
        <v>0</v>
      </c>
      <c r="F2" s="56">
        <v>46111</v>
      </c>
      <c r="G2" s="56">
        <v>46111</v>
      </c>
      <c r="H2" s="56">
        <v>46113</v>
      </c>
      <c r="I2" s="56">
        <v>46113</v>
      </c>
      <c r="J2" s="56">
        <v>46115</v>
      </c>
      <c r="K2" s="56">
        <v>46115</v>
      </c>
      <c r="L2" s="56">
        <v>46118</v>
      </c>
      <c r="M2" s="56">
        <v>46118</v>
      </c>
      <c r="N2" s="56">
        <v>46127</v>
      </c>
      <c r="O2" s="56">
        <v>46127</v>
      </c>
      <c r="P2" s="33">
        <v>46134</v>
      </c>
      <c r="Q2" s="33">
        <v>46134</v>
      </c>
      <c r="R2" s="33">
        <v>46134</v>
      </c>
      <c r="S2" s="58">
        <v>46134</v>
      </c>
      <c r="T2" s="33">
        <v>46136</v>
      </c>
      <c r="U2" s="33">
        <v>46136</v>
      </c>
      <c r="V2" s="33">
        <v>46141</v>
      </c>
      <c r="W2" s="33">
        <v>46141</v>
      </c>
      <c r="X2" s="33">
        <v>46141</v>
      </c>
      <c r="Y2" s="33">
        <v>46141</v>
      </c>
      <c r="Z2" s="33">
        <v>46143</v>
      </c>
      <c r="AA2" s="33">
        <v>46143</v>
      </c>
      <c r="AB2" s="33">
        <v>46148</v>
      </c>
      <c r="AC2" s="33">
        <v>46148</v>
      </c>
      <c r="AD2" s="33">
        <v>46148</v>
      </c>
      <c r="AE2" s="33">
        <v>46148</v>
      </c>
      <c r="AF2" s="33">
        <v>46150</v>
      </c>
      <c r="AG2" s="33">
        <v>46150</v>
      </c>
      <c r="AH2" s="33">
        <v>46155</v>
      </c>
      <c r="AI2" s="33">
        <v>46155</v>
      </c>
      <c r="AJ2" s="33">
        <v>46155</v>
      </c>
      <c r="AK2" s="33">
        <v>46155</v>
      </c>
      <c r="AL2" s="33">
        <v>46157</v>
      </c>
      <c r="AM2" s="33">
        <v>46157</v>
      </c>
      <c r="AN2" s="60">
        <v>46162</v>
      </c>
      <c r="AO2" s="60">
        <v>46162</v>
      </c>
      <c r="AP2" s="60">
        <v>46162</v>
      </c>
      <c r="AQ2" s="60">
        <v>46162</v>
      </c>
      <c r="AR2" s="33">
        <v>46164</v>
      </c>
      <c r="AS2" s="33">
        <v>46164</v>
      </c>
      <c r="AT2" s="33">
        <v>46169</v>
      </c>
      <c r="AU2" s="58">
        <v>46169</v>
      </c>
      <c r="AV2" s="58">
        <v>46169</v>
      </c>
      <c r="AW2" s="58">
        <v>46169</v>
      </c>
      <c r="AX2" s="33">
        <v>46171</v>
      </c>
      <c r="AY2" s="33">
        <v>46171</v>
      </c>
      <c r="AZ2" s="33">
        <v>46176</v>
      </c>
      <c r="BA2" s="33">
        <v>46176</v>
      </c>
      <c r="BB2" s="33">
        <v>46176</v>
      </c>
      <c r="BC2" s="33">
        <v>46176</v>
      </c>
      <c r="BD2" s="33">
        <v>46178</v>
      </c>
      <c r="BE2" s="33">
        <v>46178</v>
      </c>
      <c r="BF2" s="33">
        <v>46183</v>
      </c>
      <c r="BG2" s="33">
        <v>46183</v>
      </c>
      <c r="BH2" s="33">
        <v>46183</v>
      </c>
      <c r="BI2" s="33">
        <v>46183</v>
      </c>
      <c r="BJ2" s="33">
        <v>46185</v>
      </c>
      <c r="BK2" s="33">
        <v>46185</v>
      </c>
      <c r="BL2" s="33">
        <v>46190</v>
      </c>
      <c r="BM2" s="33">
        <v>46190</v>
      </c>
      <c r="BN2" s="33">
        <v>46190</v>
      </c>
      <c r="BO2" s="33">
        <v>46190</v>
      </c>
      <c r="BP2" s="31">
        <v>46192</v>
      </c>
      <c r="BQ2" s="31">
        <v>46192</v>
      </c>
      <c r="BR2" s="33">
        <v>46197</v>
      </c>
      <c r="BS2" s="33">
        <v>46197</v>
      </c>
      <c r="BT2" s="33">
        <v>46197</v>
      </c>
      <c r="BU2" s="33">
        <v>46197</v>
      </c>
      <c r="BV2" s="33">
        <v>46199</v>
      </c>
      <c r="BW2" s="33">
        <v>46199</v>
      </c>
      <c r="BX2" s="66">
        <v>46204</v>
      </c>
      <c r="BY2" s="33">
        <v>46204</v>
      </c>
      <c r="BZ2" s="33">
        <v>46204</v>
      </c>
      <c r="CA2" s="33">
        <v>46204</v>
      </c>
      <c r="CB2" s="33">
        <v>46204</v>
      </c>
      <c r="CC2" s="69">
        <v>46206</v>
      </c>
      <c r="CD2" s="69">
        <v>46206</v>
      </c>
      <c r="CE2" s="70">
        <v>46211</v>
      </c>
      <c r="CF2" s="70">
        <v>46211</v>
      </c>
      <c r="CG2" s="61">
        <v>46211</v>
      </c>
      <c r="CH2" s="61">
        <v>46211</v>
      </c>
      <c r="CI2" s="61">
        <v>46211</v>
      </c>
      <c r="CJ2" s="33">
        <v>46213</v>
      </c>
      <c r="CK2" s="33">
        <v>46213</v>
      </c>
      <c r="CL2" s="33">
        <v>46218</v>
      </c>
      <c r="CM2" s="33">
        <v>46218</v>
      </c>
      <c r="CN2" s="33">
        <v>46218</v>
      </c>
      <c r="CO2" s="33">
        <v>46218</v>
      </c>
      <c r="CP2" s="33">
        <v>46218</v>
      </c>
      <c r="CQ2" s="33">
        <v>46220</v>
      </c>
      <c r="CR2" s="33">
        <v>46220</v>
      </c>
      <c r="CS2" s="33">
        <v>46220</v>
      </c>
      <c r="CT2" s="33">
        <v>46220</v>
      </c>
      <c r="CU2" s="33">
        <v>46220</v>
      </c>
      <c r="CV2" s="33">
        <v>46220</v>
      </c>
      <c r="CW2" s="33">
        <v>46220</v>
      </c>
      <c r="CX2" s="33">
        <v>46225</v>
      </c>
      <c r="CY2" s="33">
        <v>46225</v>
      </c>
      <c r="CZ2" s="33">
        <v>46225</v>
      </c>
      <c r="DA2" s="33">
        <v>46225</v>
      </c>
      <c r="DB2" s="33">
        <v>46225</v>
      </c>
      <c r="DC2" s="33">
        <v>46227</v>
      </c>
      <c r="DD2" s="33">
        <v>46227</v>
      </c>
      <c r="DE2" s="33">
        <v>46227</v>
      </c>
      <c r="DF2" s="33">
        <v>46227</v>
      </c>
      <c r="DG2" s="33">
        <v>46227</v>
      </c>
      <c r="DH2" s="33">
        <v>46227</v>
      </c>
      <c r="DI2" s="33">
        <v>46227</v>
      </c>
      <c r="DJ2" s="33">
        <v>46232</v>
      </c>
      <c r="DK2" s="33">
        <v>46232</v>
      </c>
      <c r="DL2" s="33">
        <v>46232</v>
      </c>
      <c r="DM2" s="33">
        <v>46232</v>
      </c>
      <c r="DN2" s="33">
        <v>46232</v>
      </c>
      <c r="DO2" s="33">
        <v>46234</v>
      </c>
      <c r="DP2" s="33">
        <v>46234</v>
      </c>
      <c r="DQ2" s="33">
        <v>46234</v>
      </c>
      <c r="DR2" s="33">
        <v>46234</v>
      </c>
      <c r="DS2" s="33">
        <v>46234</v>
      </c>
      <c r="DT2" s="33">
        <v>46234</v>
      </c>
    </row>
    <row r="3" spans="1:125" ht="24" customHeight="1" x14ac:dyDescent="0.25">
      <c r="A3" s="39" t="s">
        <v>33</v>
      </c>
      <c r="B3" s="39"/>
      <c r="C3" s="39"/>
      <c r="D3" s="39"/>
      <c r="E3" s="54"/>
      <c r="F3" s="56"/>
      <c r="G3" s="56"/>
      <c r="H3" s="56"/>
      <c r="I3" s="56"/>
      <c r="J3" s="56"/>
      <c r="K3" s="56"/>
      <c r="L3" s="56"/>
      <c r="M3" s="56"/>
      <c r="N3" s="56"/>
      <c r="O3" s="56"/>
      <c r="P3" s="33"/>
      <c r="Q3" s="33"/>
      <c r="R3" s="33"/>
      <c r="S3" s="58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58"/>
      <c r="AV3" s="58"/>
      <c r="AW3" s="58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1"/>
      <c r="BQ3" s="31"/>
      <c r="BR3" s="33"/>
      <c r="BS3" s="33"/>
      <c r="BT3" s="33"/>
      <c r="BU3" s="33"/>
      <c r="BV3" s="33"/>
      <c r="BW3" s="33"/>
      <c r="BX3" s="66"/>
      <c r="BY3" s="33"/>
      <c r="BZ3" s="33"/>
      <c r="CA3" s="33"/>
      <c r="CB3" s="33"/>
      <c r="CC3" s="69"/>
      <c r="CD3" s="69"/>
      <c r="CE3" s="70"/>
      <c r="CF3" s="70"/>
      <c r="CG3" s="61"/>
      <c r="CH3" s="61"/>
      <c r="CI3" s="61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</row>
    <row r="4" spans="1:125" ht="24.75" customHeight="1" x14ac:dyDescent="0.25">
      <c r="A4" s="42" t="s">
        <v>1</v>
      </c>
      <c r="B4" s="42"/>
      <c r="C4" s="36" t="s">
        <v>2</v>
      </c>
      <c r="D4" s="38"/>
      <c r="E4" s="54"/>
      <c r="F4" s="56"/>
      <c r="G4" s="56"/>
      <c r="H4" s="56"/>
      <c r="I4" s="56"/>
      <c r="J4" s="56"/>
      <c r="K4" s="56"/>
      <c r="L4" s="56"/>
      <c r="M4" s="56"/>
      <c r="N4" s="56"/>
      <c r="O4" s="56"/>
      <c r="P4" s="33"/>
      <c r="Q4" s="33"/>
      <c r="R4" s="33"/>
      <c r="S4" s="58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58"/>
      <c r="AV4" s="58"/>
      <c r="AW4" s="58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1"/>
      <c r="BQ4" s="31"/>
      <c r="BR4" s="33"/>
      <c r="BS4" s="33"/>
      <c r="BT4" s="33"/>
      <c r="BU4" s="33"/>
      <c r="BV4" s="33"/>
      <c r="BW4" s="33"/>
      <c r="BX4" s="66"/>
      <c r="BY4" s="33"/>
      <c r="BZ4" s="33"/>
      <c r="CA4" s="33"/>
      <c r="CB4" s="33"/>
      <c r="CC4" s="69"/>
      <c r="CD4" s="69"/>
      <c r="CE4" s="70"/>
      <c r="CF4" s="70"/>
      <c r="CG4" s="61"/>
      <c r="CH4" s="61"/>
      <c r="CI4" s="61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</row>
    <row r="5" spans="1:125" ht="16.5" customHeight="1" x14ac:dyDescent="0.25">
      <c r="A5" s="43" t="s">
        <v>3</v>
      </c>
      <c r="B5" s="43"/>
      <c r="C5" s="44">
        <v>110</v>
      </c>
      <c r="D5" s="45"/>
      <c r="E5" s="54"/>
      <c r="F5" s="56"/>
      <c r="G5" s="56"/>
      <c r="H5" s="56"/>
      <c r="I5" s="56"/>
      <c r="J5" s="56"/>
      <c r="K5" s="56"/>
      <c r="L5" s="56"/>
      <c r="M5" s="56"/>
      <c r="N5" s="56"/>
      <c r="O5" s="56"/>
      <c r="P5" s="33"/>
      <c r="Q5" s="33"/>
      <c r="R5" s="33"/>
      <c r="S5" s="58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58"/>
      <c r="AV5" s="58"/>
      <c r="AW5" s="58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1"/>
      <c r="BQ5" s="31"/>
      <c r="BR5" s="33"/>
      <c r="BS5" s="33"/>
      <c r="BT5" s="33"/>
      <c r="BU5" s="33"/>
      <c r="BV5" s="33"/>
      <c r="BW5" s="33"/>
      <c r="BX5" s="66"/>
      <c r="BY5" s="33"/>
      <c r="BZ5" s="33"/>
      <c r="CA5" s="33"/>
      <c r="CB5" s="33"/>
      <c r="CC5" s="69"/>
      <c r="CD5" s="69"/>
      <c r="CE5" s="70"/>
      <c r="CF5" s="70"/>
      <c r="CG5" s="61"/>
      <c r="CH5" s="61"/>
      <c r="CI5" s="61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</row>
    <row r="6" spans="1:125" ht="16.5" customHeight="1" x14ac:dyDescent="0.25">
      <c r="A6" s="43" t="s">
        <v>4</v>
      </c>
      <c r="B6" s="43"/>
      <c r="C6" s="44">
        <v>7</v>
      </c>
      <c r="D6" s="45"/>
      <c r="E6" s="54"/>
      <c r="F6" s="56"/>
      <c r="G6" s="56"/>
      <c r="H6" s="56"/>
      <c r="I6" s="56"/>
      <c r="J6" s="56"/>
      <c r="K6" s="56"/>
      <c r="L6" s="56"/>
      <c r="M6" s="56"/>
      <c r="N6" s="56"/>
      <c r="O6" s="56"/>
      <c r="P6" s="33"/>
      <c r="Q6" s="33"/>
      <c r="R6" s="33"/>
      <c r="S6" s="58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58"/>
      <c r="AV6" s="58"/>
      <c r="AW6" s="58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1"/>
      <c r="BQ6" s="31"/>
      <c r="BR6" s="33"/>
      <c r="BS6" s="33"/>
      <c r="BT6" s="33"/>
      <c r="BU6" s="33"/>
      <c r="BV6" s="33"/>
      <c r="BW6" s="33"/>
      <c r="BX6" s="66"/>
      <c r="BY6" s="33"/>
      <c r="BZ6" s="33"/>
      <c r="CA6" s="33"/>
      <c r="CB6" s="33"/>
      <c r="CC6" s="69"/>
      <c r="CD6" s="69"/>
      <c r="CE6" s="70"/>
      <c r="CF6" s="70"/>
      <c r="CG6" s="61"/>
      <c r="CH6" s="61"/>
      <c r="CI6" s="61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</row>
    <row r="7" spans="1:125" ht="16.5" customHeight="1" x14ac:dyDescent="0.25">
      <c r="A7" s="46" t="s">
        <v>5</v>
      </c>
      <c r="B7" s="46"/>
      <c r="C7" s="44">
        <v>8</v>
      </c>
      <c r="D7" s="45"/>
      <c r="E7" s="55"/>
      <c r="F7" s="57"/>
      <c r="G7" s="57"/>
      <c r="H7" s="57"/>
      <c r="I7" s="57"/>
      <c r="J7" s="57"/>
      <c r="K7" s="57"/>
      <c r="L7" s="57"/>
      <c r="M7" s="57"/>
      <c r="N7" s="57"/>
      <c r="O7" s="57"/>
      <c r="P7" s="34"/>
      <c r="Q7" s="34"/>
      <c r="R7" s="34"/>
      <c r="S7" s="59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59"/>
      <c r="AV7" s="59"/>
      <c r="AW7" s="59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2"/>
      <c r="BQ7" s="32"/>
      <c r="BR7" s="34"/>
      <c r="BS7" s="34"/>
      <c r="BT7" s="34"/>
      <c r="BU7" s="34"/>
      <c r="BV7" s="34"/>
      <c r="BW7" s="34"/>
      <c r="BX7" s="67"/>
      <c r="BY7" s="34"/>
      <c r="BZ7" s="34"/>
      <c r="CA7" s="34"/>
      <c r="CB7" s="34"/>
      <c r="CC7" s="69"/>
      <c r="CD7" s="69"/>
      <c r="CE7" s="71"/>
      <c r="CF7" s="71"/>
      <c r="CG7" s="62"/>
      <c r="CH7" s="62"/>
      <c r="CI7" s="62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</row>
    <row r="8" spans="1:125" ht="24" customHeight="1" x14ac:dyDescent="0.25">
      <c r="A8" s="37" t="s">
        <v>6</v>
      </c>
      <c r="B8" s="37"/>
      <c r="C8" s="35">
        <f>SUM(C5:D7)</f>
        <v>125</v>
      </c>
      <c r="D8" s="38"/>
      <c r="E8" s="3"/>
      <c r="F8" s="24">
        <v>1</v>
      </c>
      <c r="G8" s="24">
        <v>2</v>
      </c>
      <c r="H8" s="24">
        <v>3</v>
      </c>
      <c r="I8" s="24">
        <v>4</v>
      </c>
      <c r="J8" s="24">
        <v>5</v>
      </c>
      <c r="K8" s="24">
        <v>6</v>
      </c>
      <c r="L8" s="24">
        <v>7</v>
      </c>
      <c r="M8" s="24">
        <v>8</v>
      </c>
      <c r="N8" s="24">
        <v>9</v>
      </c>
      <c r="O8" s="24">
        <v>10</v>
      </c>
      <c r="P8" s="24">
        <v>11</v>
      </c>
      <c r="Q8" s="24">
        <v>12</v>
      </c>
      <c r="R8" s="24">
        <v>13</v>
      </c>
      <c r="S8" s="24">
        <v>14</v>
      </c>
      <c r="T8" s="24">
        <v>15</v>
      </c>
      <c r="U8" s="24">
        <v>16</v>
      </c>
      <c r="V8" s="24">
        <v>17</v>
      </c>
      <c r="W8" s="24">
        <v>18</v>
      </c>
      <c r="X8" s="24">
        <v>19</v>
      </c>
      <c r="Y8" s="24">
        <v>20</v>
      </c>
      <c r="Z8" s="24">
        <v>21</v>
      </c>
      <c r="AA8" s="24">
        <v>22</v>
      </c>
      <c r="AB8" s="24">
        <v>23</v>
      </c>
      <c r="AC8" s="24">
        <v>24</v>
      </c>
      <c r="AD8" s="24">
        <v>25</v>
      </c>
      <c r="AE8" s="24">
        <v>26</v>
      </c>
      <c r="AF8" s="24">
        <v>27</v>
      </c>
      <c r="AG8" s="24">
        <v>28</v>
      </c>
      <c r="AH8" s="24">
        <v>29</v>
      </c>
      <c r="AI8" s="24">
        <v>30</v>
      </c>
      <c r="AJ8" s="24">
        <v>31</v>
      </c>
      <c r="AK8" s="24">
        <v>32</v>
      </c>
      <c r="AL8" s="24">
        <v>33</v>
      </c>
      <c r="AM8" s="24">
        <v>34</v>
      </c>
      <c r="AN8" s="24">
        <v>35</v>
      </c>
      <c r="AO8" s="24">
        <v>36</v>
      </c>
      <c r="AP8" s="24">
        <v>37</v>
      </c>
      <c r="AQ8" s="24">
        <v>38</v>
      </c>
      <c r="AR8" s="24">
        <v>39</v>
      </c>
      <c r="AS8" s="24">
        <v>40</v>
      </c>
      <c r="AT8" s="24">
        <v>41</v>
      </c>
      <c r="AU8" s="24">
        <v>42</v>
      </c>
      <c r="AV8" s="24">
        <v>43</v>
      </c>
      <c r="AW8" s="24">
        <v>44</v>
      </c>
      <c r="AX8" s="24">
        <v>45</v>
      </c>
      <c r="AY8" s="24">
        <v>46</v>
      </c>
      <c r="AZ8" s="24">
        <v>47</v>
      </c>
      <c r="BA8" s="24">
        <v>48</v>
      </c>
      <c r="BB8" s="24">
        <v>49</v>
      </c>
      <c r="BC8" s="24">
        <v>50</v>
      </c>
      <c r="BD8" s="24">
        <v>51</v>
      </c>
      <c r="BE8" s="24">
        <v>52</v>
      </c>
      <c r="BF8" s="24">
        <v>53</v>
      </c>
      <c r="BG8" s="24">
        <v>54</v>
      </c>
      <c r="BH8" s="24">
        <v>55</v>
      </c>
      <c r="BI8" s="24">
        <v>56</v>
      </c>
      <c r="BJ8" s="24">
        <v>57</v>
      </c>
      <c r="BK8" s="24">
        <v>58</v>
      </c>
      <c r="BL8" s="24">
        <v>59</v>
      </c>
      <c r="BM8" s="24">
        <v>60</v>
      </c>
      <c r="BN8" s="24">
        <v>61</v>
      </c>
      <c r="BO8" s="24">
        <v>62</v>
      </c>
      <c r="BP8" s="24">
        <v>63</v>
      </c>
      <c r="BQ8" s="24">
        <v>64</v>
      </c>
      <c r="BR8" s="24">
        <v>65</v>
      </c>
      <c r="BS8" s="24">
        <v>66</v>
      </c>
      <c r="BT8" s="24">
        <v>67</v>
      </c>
      <c r="BU8" s="24">
        <v>68</v>
      </c>
      <c r="BV8" s="24">
        <v>69</v>
      </c>
      <c r="BW8" s="24">
        <v>70</v>
      </c>
      <c r="BX8" s="24">
        <v>71</v>
      </c>
      <c r="BY8" s="24">
        <v>72</v>
      </c>
      <c r="BZ8" s="24">
        <v>73</v>
      </c>
      <c r="CA8" s="24">
        <v>74</v>
      </c>
      <c r="CB8" s="24">
        <v>75</v>
      </c>
      <c r="CC8" s="24">
        <v>76</v>
      </c>
      <c r="CD8" s="24">
        <v>77</v>
      </c>
      <c r="CE8" s="24">
        <v>78</v>
      </c>
      <c r="CF8" s="24">
        <v>79</v>
      </c>
      <c r="CG8" s="24">
        <v>80</v>
      </c>
      <c r="CH8" s="24">
        <v>81</v>
      </c>
      <c r="CI8" s="24">
        <v>82</v>
      </c>
      <c r="CJ8" s="24">
        <v>83</v>
      </c>
      <c r="CK8" s="24">
        <v>84</v>
      </c>
      <c r="CL8" s="24">
        <v>85</v>
      </c>
      <c r="CM8" s="24">
        <v>86</v>
      </c>
      <c r="CN8" s="24">
        <v>87</v>
      </c>
      <c r="CO8" s="24">
        <v>88</v>
      </c>
      <c r="CP8" s="24">
        <v>89</v>
      </c>
      <c r="CQ8" s="24">
        <v>90</v>
      </c>
      <c r="CR8" s="24">
        <v>91</v>
      </c>
      <c r="CS8" s="24">
        <v>92</v>
      </c>
      <c r="CT8" s="24">
        <v>93</v>
      </c>
      <c r="CU8" s="24">
        <v>94</v>
      </c>
      <c r="CV8" s="24">
        <v>95</v>
      </c>
      <c r="CW8" s="24">
        <v>96</v>
      </c>
      <c r="CX8" s="24">
        <v>97</v>
      </c>
      <c r="CY8" s="24">
        <v>98</v>
      </c>
      <c r="CZ8" s="24">
        <v>99</v>
      </c>
      <c r="DA8" s="24">
        <v>100</v>
      </c>
      <c r="DB8" s="24">
        <v>101</v>
      </c>
      <c r="DC8" s="24">
        <v>102</v>
      </c>
      <c r="DD8" s="24">
        <v>103</v>
      </c>
      <c r="DE8" s="24">
        <v>104</v>
      </c>
      <c r="DF8" s="24">
        <v>105</v>
      </c>
      <c r="DG8" s="24">
        <v>106</v>
      </c>
      <c r="DH8" s="24">
        <v>107</v>
      </c>
      <c r="DI8" s="24">
        <v>108</v>
      </c>
      <c r="DJ8" s="24">
        <v>109</v>
      </c>
      <c r="DK8" s="24">
        <v>110</v>
      </c>
      <c r="DL8" s="24">
        <v>111</v>
      </c>
      <c r="DM8" s="24">
        <v>112</v>
      </c>
      <c r="DN8" s="24">
        <v>113</v>
      </c>
      <c r="DO8" s="24">
        <v>114</v>
      </c>
      <c r="DP8" s="24">
        <v>115</v>
      </c>
      <c r="DQ8" s="24">
        <v>116</v>
      </c>
      <c r="DR8" s="24">
        <v>117</v>
      </c>
      <c r="DS8" s="24">
        <v>118</v>
      </c>
      <c r="DT8" s="24">
        <v>119</v>
      </c>
    </row>
    <row r="9" spans="1:125" ht="16.5" customHeight="1" x14ac:dyDescent="0.25">
      <c r="A9" s="39" t="s">
        <v>7</v>
      </c>
      <c r="B9" s="40" t="s">
        <v>8</v>
      </c>
      <c r="C9" s="41" t="s">
        <v>9</v>
      </c>
      <c r="D9" s="40"/>
      <c r="E9" s="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</row>
    <row r="10" spans="1:125" ht="16.5" customHeight="1" x14ac:dyDescent="0.25">
      <c r="A10" s="39"/>
      <c r="B10" s="40"/>
      <c r="C10" s="6"/>
      <c r="D10" s="4" t="s">
        <v>10</v>
      </c>
      <c r="E10" s="7" t="s">
        <v>11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1</v>
      </c>
      <c r="Q10" s="8">
        <v>1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1</v>
      </c>
      <c r="AJ10" s="8">
        <v>1</v>
      </c>
      <c r="AK10" s="8">
        <v>1</v>
      </c>
      <c r="AL10" s="8">
        <v>1</v>
      </c>
      <c r="AM10" s="8">
        <v>1</v>
      </c>
      <c r="AN10" s="8">
        <v>1</v>
      </c>
      <c r="AO10" s="8">
        <v>1</v>
      </c>
      <c r="AP10" s="8">
        <v>1</v>
      </c>
      <c r="AQ10" s="8">
        <v>1</v>
      </c>
      <c r="AR10" s="8">
        <v>1</v>
      </c>
      <c r="AS10" s="8">
        <v>1</v>
      </c>
      <c r="AT10" s="8">
        <v>1</v>
      </c>
      <c r="AU10" s="8">
        <v>1</v>
      </c>
      <c r="AV10" s="8">
        <v>1</v>
      </c>
      <c r="AW10" s="8">
        <v>1</v>
      </c>
      <c r="AX10" s="8">
        <v>1</v>
      </c>
      <c r="AY10" s="8">
        <v>1</v>
      </c>
      <c r="AZ10" s="8">
        <v>1</v>
      </c>
      <c r="BA10" s="8">
        <v>1</v>
      </c>
      <c r="BB10" s="8">
        <v>1</v>
      </c>
      <c r="BC10" s="8">
        <v>1</v>
      </c>
      <c r="BD10" s="8">
        <v>1</v>
      </c>
      <c r="BE10" s="8">
        <v>1</v>
      </c>
      <c r="BF10" s="8">
        <v>1</v>
      </c>
      <c r="BG10" s="8">
        <v>1</v>
      </c>
      <c r="BH10" s="8">
        <v>1</v>
      </c>
      <c r="BI10" s="8">
        <v>1</v>
      </c>
      <c r="BJ10" s="8">
        <v>1</v>
      </c>
      <c r="BK10" s="8">
        <v>1</v>
      </c>
      <c r="BL10" s="8">
        <v>1</v>
      </c>
      <c r="BM10" s="8">
        <v>1</v>
      </c>
      <c r="BN10" s="8">
        <v>1</v>
      </c>
      <c r="BO10" s="8">
        <v>1</v>
      </c>
      <c r="BP10" s="8">
        <v>1</v>
      </c>
      <c r="BQ10" s="8">
        <v>1</v>
      </c>
      <c r="BR10" s="8">
        <v>1</v>
      </c>
      <c r="BS10" s="8">
        <v>1</v>
      </c>
      <c r="BT10" s="8">
        <v>1</v>
      </c>
      <c r="BU10" s="8">
        <v>1</v>
      </c>
      <c r="BV10" s="8">
        <v>1</v>
      </c>
      <c r="BW10" s="8">
        <v>1</v>
      </c>
      <c r="BX10" s="8">
        <v>1</v>
      </c>
      <c r="BY10" s="8">
        <v>1</v>
      </c>
      <c r="BZ10" s="8">
        <v>1</v>
      </c>
      <c r="CA10" s="8">
        <v>1</v>
      </c>
      <c r="CB10" s="8">
        <v>1</v>
      </c>
      <c r="CC10" s="8">
        <v>1</v>
      </c>
      <c r="CD10" s="8">
        <v>1</v>
      </c>
      <c r="CE10" s="8">
        <v>1</v>
      </c>
      <c r="CF10" s="8">
        <v>1</v>
      </c>
      <c r="CG10" s="8">
        <v>1</v>
      </c>
      <c r="CH10" s="8">
        <v>1</v>
      </c>
      <c r="CI10" s="8">
        <v>1</v>
      </c>
      <c r="CJ10" s="8">
        <v>1</v>
      </c>
      <c r="CK10" s="8">
        <v>1</v>
      </c>
      <c r="CL10" s="8">
        <v>1</v>
      </c>
      <c r="CM10" s="8">
        <v>1</v>
      </c>
      <c r="CN10" s="8">
        <v>1</v>
      </c>
      <c r="CO10" s="8">
        <v>1</v>
      </c>
      <c r="CP10" s="8">
        <v>1</v>
      </c>
      <c r="CQ10" s="8">
        <v>1</v>
      </c>
      <c r="CR10" s="8">
        <v>1</v>
      </c>
      <c r="CS10" s="8">
        <v>1</v>
      </c>
      <c r="CT10" s="8">
        <v>1</v>
      </c>
      <c r="CU10" s="8">
        <v>1</v>
      </c>
      <c r="CV10" s="8">
        <v>1</v>
      </c>
      <c r="CW10" s="8">
        <v>1</v>
      </c>
      <c r="CX10" s="8">
        <v>1</v>
      </c>
      <c r="CY10" s="8">
        <v>1</v>
      </c>
      <c r="CZ10" s="8">
        <v>1</v>
      </c>
      <c r="DA10" s="8">
        <v>1</v>
      </c>
      <c r="DB10" s="8">
        <v>1</v>
      </c>
      <c r="DC10" s="8">
        <v>1</v>
      </c>
      <c r="DD10" s="8">
        <v>1</v>
      </c>
      <c r="DE10" s="8">
        <v>1</v>
      </c>
      <c r="DF10" s="8">
        <v>1</v>
      </c>
      <c r="DG10" s="8">
        <v>1</v>
      </c>
      <c r="DH10" s="8">
        <v>1</v>
      </c>
      <c r="DI10" s="8">
        <v>1</v>
      </c>
      <c r="DJ10" s="8">
        <v>1</v>
      </c>
      <c r="DK10" s="8">
        <v>1</v>
      </c>
      <c r="DL10" s="8">
        <v>1</v>
      </c>
      <c r="DM10" s="8">
        <v>1</v>
      </c>
      <c r="DN10" s="8">
        <v>1</v>
      </c>
      <c r="DO10" s="8">
        <v>1</v>
      </c>
      <c r="DP10" s="8">
        <v>1</v>
      </c>
      <c r="DQ10" s="8">
        <v>1</v>
      </c>
      <c r="DR10" s="8">
        <v>1</v>
      </c>
      <c r="DS10" s="8">
        <v>1</v>
      </c>
      <c r="DT10" s="8">
        <v>1</v>
      </c>
    </row>
    <row r="11" spans="1:125" ht="16.5" customHeight="1" x14ac:dyDescent="0.25">
      <c r="A11" s="9">
        <v>1</v>
      </c>
      <c r="B11" s="13" t="s">
        <v>12</v>
      </c>
      <c r="C11" s="13" t="s">
        <v>13</v>
      </c>
      <c r="D11" s="11">
        <f t="shared" ref="D11:D26" si="0">COUNT(F11:DT11)</f>
        <v>15</v>
      </c>
      <c r="E11" s="15">
        <f>D11/C5</f>
        <v>0.13636363636363635</v>
      </c>
      <c r="F11" s="3">
        <v>0</v>
      </c>
      <c r="G11" s="3"/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0</v>
      </c>
      <c r="AA11" s="3">
        <v>0</v>
      </c>
      <c r="AB11" s="3">
        <v>0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>
        <v>0</v>
      </c>
      <c r="AO11" s="3"/>
      <c r="AP11" s="3"/>
      <c r="AQ11" s="3"/>
      <c r="AR11" s="3">
        <v>0</v>
      </c>
      <c r="AS11" s="3"/>
      <c r="AT11" s="3"/>
      <c r="AU11" s="3"/>
      <c r="AV11" s="3"/>
      <c r="AW11" s="3"/>
      <c r="AX11" s="3">
        <v>0</v>
      </c>
      <c r="AY11" s="3"/>
      <c r="AZ11" s="3">
        <v>0</v>
      </c>
      <c r="BA11" s="3"/>
      <c r="BB11" s="3"/>
      <c r="BC11" s="3"/>
      <c r="BD11" s="3">
        <v>0</v>
      </c>
      <c r="BE11" s="3"/>
      <c r="BF11" s="3"/>
      <c r="BG11" s="3"/>
      <c r="BH11" s="3"/>
      <c r="BI11" s="3"/>
      <c r="BJ11" s="3"/>
      <c r="BK11" s="3"/>
      <c r="BL11" s="3">
        <v>0</v>
      </c>
      <c r="BM11" s="3"/>
      <c r="BN11" s="3"/>
      <c r="BO11" s="3"/>
      <c r="BP11" s="3"/>
      <c r="BQ11" s="3"/>
      <c r="BR11" s="3">
        <v>0</v>
      </c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>
        <v>0</v>
      </c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</row>
    <row r="12" spans="1:125" ht="16.5" customHeight="1" x14ac:dyDescent="0.25">
      <c r="A12" s="9">
        <v>3</v>
      </c>
      <c r="B12" s="13" t="s">
        <v>16</v>
      </c>
      <c r="C12" s="13" t="s">
        <v>17</v>
      </c>
      <c r="D12" s="11">
        <f t="shared" si="0"/>
        <v>62</v>
      </c>
      <c r="E12" s="15">
        <f>D12/C5</f>
        <v>0.5636363636363636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>
        <v>0</v>
      </c>
      <c r="U12" s="3">
        <v>0</v>
      </c>
      <c r="V12" s="3"/>
      <c r="W12" s="3"/>
      <c r="X12" s="3">
        <v>0</v>
      </c>
      <c r="Y12" s="3">
        <v>0</v>
      </c>
      <c r="Z12" s="3">
        <v>0</v>
      </c>
      <c r="AA12" s="3"/>
      <c r="AB12" s="3">
        <v>0</v>
      </c>
      <c r="AC12" s="3"/>
      <c r="AD12" s="3"/>
      <c r="AE12" s="3"/>
      <c r="AF12" s="3">
        <v>0</v>
      </c>
      <c r="AG12" s="3"/>
      <c r="AH12" s="3">
        <v>0</v>
      </c>
      <c r="AI12" s="3">
        <v>0</v>
      </c>
      <c r="AJ12" s="3">
        <v>0</v>
      </c>
      <c r="AK12" s="3"/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0</v>
      </c>
      <c r="BA12" s="3">
        <v>0</v>
      </c>
      <c r="BB12" s="3">
        <v>0</v>
      </c>
      <c r="BC12" s="3">
        <v>0</v>
      </c>
      <c r="BD12" s="3"/>
      <c r="BE12" s="3"/>
      <c r="BF12" s="3"/>
      <c r="BG12" s="3"/>
      <c r="BH12" s="3"/>
      <c r="BI12" s="3">
        <v>0</v>
      </c>
      <c r="BJ12" s="3"/>
      <c r="BK12" s="3"/>
      <c r="BL12" s="3"/>
      <c r="BM12" s="3"/>
      <c r="BN12" s="3"/>
      <c r="BO12" s="3"/>
      <c r="BP12" s="3"/>
      <c r="BQ12" s="3"/>
      <c r="BR12" s="3">
        <v>0</v>
      </c>
      <c r="BS12" s="3"/>
      <c r="BT12" s="3"/>
      <c r="BU12" s="3"/>
      <c r="BV12" s="3">
        <v>0</v>
      </c>
      <c r="BW12" s="3">
        <v>0</v>
      </c>
      <c r="BX12" s="3"/>
      <c r="BY12" s="3"/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/>
      <c r="CH12" s="3"/>
      <c r="CI12" s="3"/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/>
      <c r="CS12" s="3"/>
      <c r="CT12" s="3"/>
      <c r="CU12" s="3"/>
      <c r="CV12" s="3"/>
      <c r="CW12" s="3"/>
      <c r="CX12" s="3">
        <v>0</v>
      </c>
      <c r="CY12" s="3">
        <v>0</v>
      </c>
      <c r="CZ12" s="3">
        <v>0</v>
      </c>
      <c r="DA12" s="3">
        <v>0</v>
      </c>
      <c r="DB12" s="3"/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</row>
    <row r="13" spans="1:125" ht="16.5" customHeight="1" x14ac:dyDescent="0.25">
      <c r="A13" s="9">
        <v>4</v>
      </c>
      <c r="B13" s="13" t="s">
        <v>18</v>
      </c>
      <c r="C13" s="13" t="s">
        <v>19</v>
      </c>
      <c r="D13" s="11">
        <f t="shared" si="0"/>
        <v>81</v>
      </c>
      <c r="E13" s="15">
        <f>D13/C5</f>
        <v>0.73636363636363633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  <c r="N13" s="3"/>
      <c r="O13" s="3"/>
      <c r="P13" s="3"/>
      <c r="Q13" s="3"/>
      <c r="R13" s="3"/>
      <c r="S13" s="3"/>
      <c r="T13" s="3">
        <v>0</v>
      </c>
      <c r="U13" s="3">
        <v>0</v>
      </c>
      <c r="V13" s="3">
        <v>0</v>
      </c>
      <c r="W13" s="3"/>
      <c r="X13" s="3"/>
      <c r="Y13" s="3"/>
      <c r="Z13" s="3">
        <v>0</v>
      </c>
      <c r="AA13" s="3"/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0</v>
      </c>
      <c r="AY13" s="3">
        <v>0</v>
      </c>
      <c r="AZ13" s="3"/>
      <c r="BA13" s="3"/>
      <c r="BB13" s="3"/>
      <c r="BC13" s="3"/>
      <c r="BD13" s="3">
        <v>0</v>
      </c>
      <c r="BE13" s="3"/>
      <c r="BF13" s="3">
        <v>0</v>
      </c>
      <c r="BG13" s="3">
        <v>0</v>
      </c>
      <c r="BH13" s="3">
        <v>0</v>
      </c>
      <c r="BI13" s="3">
        <v>0</v>
      </c>
      <c r="BJ13" s="3"/>
      <c r="BK13" s="3"/>
      <c r="BL13" s="3"/>
      <c r="BM13" s="3"/>
      <c r="BN13" s="3"/>
      <c r="BO13" s="3"/>
      <c r="BP13" s="3"/>
      <c r="BQ13" s="3"/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/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</row>
    <row r="14" spans="1:125" ht="16.5" customHeight="1" x14ac:dyDescent="0.25">
      <c r="A14" s="9">
        <v>6</v>
      </c>
      <c r="B14" s="13" t="s">
        <v>22</v>
      </c>
      <c r="C14" s="13" t="s">
        <v>23</v>
      </c>
      <c r="D14" s="11">
        <f t="shared" si="0"/>
        <v>82</v>
      </c>
      <c r="E14" s="15">
        <f>D14/C5</f>
        <v>0.74545454545454548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  <c r="N14" s="3"/>
      <c r="O14" s="3"/>
      <c r="P14" s="3"/>
      <c r="Q14" s="3"/>
      <c r="R14" s="3"/>
      <c r="S14" s="3"/>
      <c r="T14" s="3">
        <v>0</v>
      </c>
      <c r="U14" s="3">
        <v>0</v>
      </c>
      <c r="V14" s="3"/>
      <c r="W14" s="3"/>
      <c r="X14" s="3"/>
      <c r="Y14" s="3"/>
      <c r="Z14" s="3">
        <v>0</v>
      </c>
      <c r="AA14" s="3">
        <v>0</v>
      </c>
      <c r="AB14" s="3">
        <v>0</v>
      </c>
      <c r="AC14" s="3"/>
      <c r="AD14" s="3"/>
      <c r="AE14" s="3"/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/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/>
      <c r="AS14" s="3"/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/>
      <c r="BM14" s="3"/>
      <c r="BN14" s="3"/>
      <c r="BO14" s="3"/>
      <c r="BP14" s="3"/>
      <c r="BQ14" s="3"/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/>
      <c r="CJ14" s="3">
        <v>0</v>
      </c>
      <c r="CK14" s="3">
        <v>0</v>
      </c>
      <c r="CL14" s="3"/>
      <c r="CM14" s="3"/>
      <c r="CN14" s="3"/>
      <c r="CO14" s="3"/>
      <c r="CP14" s="3"/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/>
      <c r="DC14" s="3"/>
      <c r="DD14" s="3"/>
      <c r="DE14" s="3"/>
      <c r="DF14" s="3"/>
      <c r="DG14" s="3"/>
      <c r="DH14" s="3"/>
      <c r="DI14" s="3"/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</row>
    <row r="15" spans="1:125" ht="16.5" customHeight="1" x14ac:dyDescent="0.25">
      <c r="A15" s="9">
        <v>7</v>
      </c>
      <c r="B15" s="13" t="s">
        <v>24</v>
      </c>
      <c r="C15" s="13" t="s">
        <v>25</v>
      </c>
      <c r="D15" s="11">
        <f>COUNT(F15:DT15)</f>
        <v>29</v>
      </c>
      <c r="E15" s="15">
        <f>D15/C5</f>
        <v>0.26363636363636361</v>
      </c>
      <c r="F15" s="3"/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>
        <v>0</v>
      </c>
      <c r="Y15" s="3">
        <v>0</v>
      </c>
      <c r="Z15" s="3">
        <v>0</v>
      </c>
      <c r="AA15" s="3"/>
      <c r="AB15" s="3">
        <v>0</v>
      </c>
      <c r="AC15" s="3">
        <v>0</v>
      </c>
      <c r="AD15" s="3">
        <v>0</v>
      </c>
      <c r="AE15" s="3">
        <v>0</v>
      </c>
      <c r="AF15" s="3"/>
      <c r="AG15" s="3"/>
      <c r="AH15" s="3">
        <v>0</v>
      </c>
      <c r="AI15" s="3">
        <v>0</v>
      </c>
      <c r="AJ15" s="3">
        <v>0</v>
      </c>
      <c r="AK15" s="3"/>
      <c r="AL15" s="3"/>
      <c r="AM15" s="3"/>
      <c r="AN15" s="3"/>
      <c r="AO15" s="3"/>
      <c r="AP15" s="3"/>
      <c r="AQ15" s="3"/>
      <c r="AR15" s="3">
        <v>0</v>
      </c>
      <c r="AS15" s="3">
        <v>0</v>
      </c>
      <c r="AT15" s="3"/>
      <c r="AU15" s="3"/>
      <c r="AV15" s="3"/>
      <c r="AW15" s="3"/>
      <c r="AX15" s="3">
        <v>0</v>
      </c>
      <c r="AY15" s="3">
        <v>0</v>
      </c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>
        <v>0</v>
      </c>
      <c r="BS15" s="3"/>
      <c r="BT15" s="3"/>
      <c r="BU15" s="3"/>
      <c r="BV15" s="3"/>
      <c r="BW15" s="3"/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/>
      <c r="CE15" s="3"/>
      <c r="CF15" s="3"/>
      <c r="CG15" s="3">
        <v>0</v>
      </c>
      <c r="CH15" s="3">
        <v>0</v>
      </c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>
        <v>0</v>
      </c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</row>
    <row r="16" spans="1:125" ht="16.5" customHeight="1" x14ac:dyDescent="0.25">
      <c r="A16" s="9">
        <v>8</v>
      </c>
      <c r="B16" s="13" t="s">
        <v>26</v>
      </c>
      <c r="C16" s="13" t="s">
        <v>27</v>
      </c>
      <c r="D16" s="11">
        <f t="shared" si="0"/>
        <v>78</v>
      </c>
      <c r="E16" s="15">
        <f>D16/C5</f>
        <v>0.70909090909090911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</v>
      </c>
      <c r="U16" s="3">
        <v>0</v>
      </c>
      <c r="V16" s="3"/>
      <c r="W16" s="3"/>
      <c r="X16" s="3"/>
      <c r="Y16" s="3"/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/>
      <c r="AF16" s="3">
        <v>0</v>
      </c>
      <c r="AG16" s="3"/>
      <c r="AH16" s="3">
        <v>0</v>
      </c>
      <c r="AI16" s="3">
        <v>0</v>
      </c>
      <c r="AJ16" s="3">
        <v>0</v>
      </c>
      <c r="AK16" s="3"/>
      <c r="AL16" s="3">
        <v>0</v>
      </c>
      <c r="AM16" s="3">
        <v>0</v>
      </c>
      <c r="AN16" s="3">
        <v>0</v>
      </c>
      <c r="AO16" s="3"/>
      <c r="AP16" s="3"/>
      <c r="AQ16" s="3"/>
      <c r="AR16" s="3">
        <v>0</v>
      </c>
      <c r="AS16" s="3">
        <v>0</v>
      </c>
      <c r="AT16" s="3"/>
      <c r="AU16" s="3"/>
      <c r="AV16" s="3"/>
      <c r="AW16" s="3"/>
      <c r="AX16" s="3">
        <v>0</v>
      </c>
      <c r="AY16" s="3">
        <v>0</v>
      </c>
      <c r="AZ16" s="3"/>
      <c r="BA16" s="3"/>
      <c r="BB16" s="3"/>
      <c r="BC16" s="3"/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/>
      <c r="BQ16" s="3"/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/>
      <c r="CR16" s="3"/>
      <c r="CS16" s="3"/>
      <c r="CT16" s="3"/>
      <c r="CU16" s="3"/>
      <c r="CV16" s="3"/>
      <c r="CW16" s="3"/>
      <c r="CX16" s="3">
        <v>0</v>
      </c>
      <c r="CY16" s="3">
        <v>0</v>
      </c>
      <c r="CZ16" s="3">
        <v>0</v>
      </c>
      <c r="DA16" s="3">
        <v>0</v>
      </c>
      <c r="DB16" s="3"/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</row>
    <row r="17" spans="1:124" ht="16.5" customHeight="1" x14ac:dyDescent="0.25">
      <c r="A17" s="9">
        <v>10</v>
      </c>
      <c r="B17" s="13" t="s">
        <v>28</v>
      </c>
      <c r="C17" s="13" t="s">
        <v>29</v>
      </c>
      <c r="D17" s="11">
        <f t="shared" si="0"/>
        <v>59</v>
      </c>
      <c r="E17" s="15">
        <f>D17/C5</f>
        <v>0.53636363636363638</v>
      </c>
      <c r="F17" s="3"/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>
        <v>0</v>
      </c>
      <c r="U17" s="3"/>
      <c r="V17" s="3"/>
      <c r="W17" s="3"/>
      <c r="X17" s="3"/>
      <c r="Y17" s="3"/>
      <c r="Z17" s="3"/>
      <c r="AA17" s="3"/>
      <c r="AB17" s="3">
        <v>0</v>
      </c>
      <c r="AC17" s="3">
        <v>0</v>
      </c>
      <c r="AD17" s="3">
        <v>0</v>
      </c>
      <c r="AE17" s="3">
        <v>0</v>
      </c>
      <c r="AF17" s="3"/>
      <c r="AG17" s="3"/>
      <c r="AH17" s="3">
        <v>0</v>
      </c>
      <c r="AI17" s="3"/>
      <c r="AJ17" s="3"/>
      <c r="AK17" s="3"/>
      <c r="AL17" s="3"/>
      <c r="AM17" s="3"/>
      <c r="AN17" s="3">
        <v>0</v>
      </c>
      <c r="AO17" s="3">
        <v>0</v>
      </c>
      <c r="AP17" s="3">
        <v>0</v>
      </c>
      <c r="AQ17" s="3">
        <v>0</v>
      </c>
      <c r="AR17" s="3"/>
      <c r="AS17" s="3"/>
      <c r="AT17" s="3"/>
      <c r="AU17" s="3"/>
      <c r="AV17" s="3"/>
      <c r="AW17" s="3"/>
      <c r="AX17" s="3">
        <v>0</v>
      </c>
      <c r="AY17" s="3"/>
      <c r="AZ17" s="3"/>
      <c r="BA17" s="3"/>
      <c r="BB17" s="3"/>
      <c r="BC17" s="3"/>
      <c r="BD17" s="3">
        <v>0</v>
      </c>
      <c r="BE17" s="3">
        <v>0</v>
      </c>
      <c r="BF17" s="3"/>
      <c r="BG17" s="3"/>
      <c r="BH17" s="3"/>
      <c r="BI17" s="3"/>
      <c r="BJ17" s="3"/>
      <c r="BK17" s="3"/>
      <c r="BL17" s="3">
        <v>0</v>
      </c>
      <c r="BM17" s="3"/>
      <c r="BN17" s="3"/>
      <c r="BO17" s="3"/>
      <c r="BP17" s="3"/>
      <c r="BQ17" s="3"/>
      <c r="BR17" s="3"/>
      <c r="BS17" s="3"/>
      <c r="BT17" s="3"/>
      <c r="BU17" s="3"/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/>
      <c r="CD17" s="3">
        <v>0</v>
      </c>
      <c r="CE17" s="3"/>
      <c r="CF17" s="3"/>
      <c r="CG17" s="3"/>
      <c r="CH17" s="3"/>
      <c r="CI17" s="3"/>
      <c r="CJ17" s="3">
        <v>0</v>
      </c>
      <c r="CK17" s="3">
        <v>0</v>
      </c>
      <c r="CL17" s="3"/>
      <c r="CM17" s="3"/>
      <c r="CN17" s="3"/>
      <c r="CO17" s="3"/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/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</row>
    <row r="18" spans="1:124" ht="16.5" customHeight="1" x14ac:dyDescent="0.25">
      <c r="A18" s="9">
        <v>11</v>
      </c>
      <c r="B18" s="13" t="s">
        <v>30</v>
      </c>
      <c r="C18" s="13" t="s">
        <v>17</v>
      </c>
      <c r="D18" s="11">
        <f t="shared" si="0"/>
        <v>60</v>
      </c>
      <c r="E18" s="15">
        <f>D18/C5</f>
        <v>0.54545454545454541</v>
      </c>
      <c r="F18" s="3">
        <v>0</v>
      </c>
      <c r="G18" s="3"/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>
        <v>0</v>
      </c>
      <c r="U18" s="3">
        <v>0</v>
      </c>
      <c r="V18" s="3"/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/>
      <c r="AD18" s="3"/>
      <c r="AE18" s="3"/>
      <c r="AF18" s="3">
        <v>0</v>
      </c>
      <c r="AG18" s="3"/>
      <c r="AH18" s="3">
        <v>0</v>
      </c>
      <c r="AI18" s="3">
        <v>0</v>
      </c>
      <c r="AJ18" s="3">
        <v>0</v>
      </c>
      <c r="AK18" s="3">
        <v>0</v>
      </c>
      <c r="AL18" s="3"/>
      <c r="AM18" s="3"/>
      <c r="AN18" s="3"/>
      <c r="AO18" s="3"/>
      <c r="AP18" s="3"/>
      <c r="AQ18" s="3"/>
      <c r="AR18" s="3">
        <v>0</v>
      </c>
      <c r="AS18" s="3"/>
      <c r="AT18" s="3"/>
      <c r="AU18" s="3"/>
      <c r="AV18" s="3"/>
      <c r="AW18" s="3"/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/>
      <c r="BE18" s="3"/>
      <c r="BF18" s="3">
        <v>0</v>
      </c>
      <c r="BG18" s="3"/>
      <c r="BH18" s="3"/>
      <c r="BI18" s="3"/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/>
      <c r="BQ18" s="3"/>
      <c r="BR18" s="3">
        <v>0</v>
      </c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>
        <v>0</v>
      </c>
      <c r="CD18" s="3"/>
      <c r="CE18" s="3">
        <v>0</v>
      </c>
      <c r="CF18" s="3">
        <v>0</v>
      </c>
      <c r="CG18" s="3">
        <v>0</v>
      </c>
      <c r="CH18" s="3">
        <v>0</v>
      </c>
      <c r="CI18" s="3"/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/>
      <c r="CQ18" s="3"/>
      <c r="CR18" s="3"/>
      <c r="CS18" s="3"/>
      <c r="CT18" s="3"/>
      <c r="CU18" s="3"/>
      <c r="CV18" s="3"/>
      <c r="CW18" s="3"/>
      <c r="CX18" s="3">
        <v>0</v>
      </c>
      <c r="CY18" s="3">
        <v>0</v>
      </c>
      <c r="CZ18" s="3">
        <v>0</v>
      </c>
      <c r="DA18" s="3">
        <v>0</v>
      </c>
      <c r="DB18" s="3"/>
      <c r="DC18" s="3"/>
      <c r="DD18" s="3"/>
      <c r="DE18" s="3"/>
      <c r="DF18" s="3"/>
      <c r="DG18" s="3"/>
      <c r="DH18" s="3"/>
      <c r="DI18" s="3"/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</row>
    <row r="19" spans="1:124" ht="16.5" customHeight="1" x14ac:dyDescent="0.25">
      <c r="A19" s="9">
        <v>11</v>
      </c>
      <c r="B19" s="10"/>
      <c r="C19" s="10"/>
      <c r="D19" s="11">
        <f t="shared" si="0"/>
        <v>0</v>
      </c>
      <c r="E19" s="1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</row>
    <row r="20" spans="1:124" ht="16.5" customHeight="1" x14ac:dyDescent="0.25">
      <c r="A20" s="9">
        <v>12</v>
      </c>
      <c r="B20" s="13"/>
      <c r="C20" s="10"/>
      <c r="D20" s="11">
        <f t="shared" si="0"/>
        <v>0</v>
      </c>
      <c r="E20" s="1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</row>
    <row r="21" spans="1:124" ht="16.5" customHeight="1" x14ac:dyDescent="0.25">
      <c r="A21" s="9">
        <v>13</v>
      </c>
      <c r="B21" s="10"/>
      <c r="C21" s="10"/>
      <c r="D21" s="11">
        <f t="shared" si="0"/>
        <v>0</v>
      </c>
      <c r="E21" s="1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</row>
    <row r="22" spans="1:124" ht="16.5" customHeight="1" x14ac:dyDescent="0.25">
      <c r="A22" s="9">
        <v>14</v>
      </c>
      <c r="B22" s="10"/>
      <c r="C22" s="10"/>
      <c r="D22" s="11">
        <f t="shared" si="0"/>
        <v>0</v>
      </c>
      <c r="E22" s="1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</row>
    <row r="23" spans="1:124" ht="16.5" customHeight="1" x14ac:dyDescent="0.25">
      <c r="A23" s="9">
        <v>15</v>
      </c>
      <c r="B23" s="10"/>
      <c r="C23" s="10"/>
      <c r="D23" s="11">
        <f t="shared" si="0"/>
        <v>0</v>
      </c>
      <c r="E23" s="1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</row>
    <row r="24" spans="1:124" ht="16.5" customHeight="1" x14ac:dyDescent="0.25">
      <c r="A24" s="9">
        <v>16</v>
      </c>
      <c r="B24" s="10"/>
      <c r="C24" s="10"/>
      <c r="D24" s="11">
        <f t="shared" si="0"/>
        <v>0</v>
      </c>
      <c r="E24" s="1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</row>
    <row r="25" spans="1:124" ht="16.5" customHeight="1" x14ac:dyDescent="0.25">
      <c r="A25" s="9">
        <v>17</v>
      </c>
      <c r="B25" s="10"/>
      <c r="C25" s="10"/>
      <c r="D25" s="11">
        <f t="shared" si="0"/>
        <v>0</v>
      </c>
      <c r="E25" s="1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</row>
    <row r="26" spans="1:124" ht="16.5" customHeight="1" x14ac:dyDescent="0.25">
      <c r="A26" s="9">
        <v>18</v>
      </c>
      <c r="B26" s="10"/>
      <c r="C26" s="10"/>
      <c r="D26" s="11">
        <f t="shared" si="0"/>
        <v>0</v>
      </c>
      <c r="E26" s="35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6"/>
      <c r="DL26" s="36"/>
      <c r="DM26" s="36"/>
      <c r="DN26" s="36"/>
      <c r="DO26" s="36"/>
      <c r="DP26" s="36"/>
      <c r="DQ26" s="36"/>
      <c r="DR26" s="36"/>
      <c r="DS26" s="36"/>
      <c r="DT26" s="36"/>
    </row>
    <row r="27" spans="1:124" ht="16.5" customHeight="1" x14ac:dyDescent="0.25">
      <c r="F27" s="72">
        <f>SUM(F1:S1)</f>
        <v>14</v>
      </c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>
        <f>SUM(T1:AW1)</f>
        <v>30</v>
      </c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>
        <f>SUM(AX1:CD1)</f>
        <v>31</v>
      </c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3">
        <f>COLUMNS(CF2:DT7)</f>
        <v>41</v>
      </c>
      <c r="CF27" s="74"/>
      <c r="CG27" s="74"/>
      <c r="CH27" s="74"/>
      <c r="CI27" s="74"/>
      <c r="CJ27" s="74"/>
      <c r="CK27" s="74"/>
      <c r="CL27" s="74"/>
      <c r="CM27" s="74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74"/>
      <c r="DA27" s="74"/>
      <c r="DB27" s="74"/>
      <c r="DC27" s="74"/>
      <c r="DD27" s="74"/>
      <c r="DE27" s="74"/>
      <c r="DF27" s="74"/>
      <c r="DG27" s="74"/>
      <c r="DH27" s="74"/>
      <c r="DI27" s="74"/>
      <c r="DJ27" s="74"/>
      <c r="DK27" s="74"/>
      <c r="DL27" s="74"/>
      <c r="DM27" s="74"/>
      <c r="DN27" s="74"/>
      <c r="DO27" s="74"/>
      <c r="DP27" s="74"/>
      <c r="DQ27" s="74"/>
      <c r="DR27" s="74"/>
      <c r="DS27" s="74"/>
      <c r="DT27" s="74"/>
    </row>
    <row r="29" spans="1:124" ht="16.5" customHeight="1" x14ac:dyDescent="0.25">
      <c r="E29" s="22">
        <f>SUM(E11:E18)/8</f>
        <v>0.52954545454545454</v>
      </c>
      <c r="AJ29" s="16"/>
      <c r="AK29" s="17" t="s">
        <v>35</v>
      </c>
    </row>
    <row r="30" spans="1:124" ht="16.5" customHeight="1" x14ac:dyDescent="0.25">
      <c r="AJ30" s="18"/>
      <c r="AK30" s="17" t="s">
        <v>36</v>
      </c>
    </row>
    <row r="31" spans="1:124" ht="16.5" customHeight="1" x14ac:dyDescent="0.25">
      <c r="AJ31" s="21"/>
      <c r="AK31" s="1" t="s">
        <v>43</v>
      </c>
    </row>
  </sheetData>
  <mergeCells count="294">
    <mergeCell ref="DC1:DI1"/>
    <mergeCell ref="DJ1:DN1"/>
    <mergeCell ref="DO1:DT1"/>
    <mergeCell ref="DF2:DF7"/>
    <mergeCell ref="DQ2:DQ7"/>
    <mergeCell ref="DR2:DR7"/>
    <mergeCell ref="DS2:DS7"/>
    <mergeCell ref="DT2:DT7"/>
    <mergeCell ref="CX2:CX7"/>
    <mergeCell ref="CY2:CY7"/>
    <mergeCell ref="DA2:DA7"/>
    <mergeCell ref="DB2:DB7"/>
    <mergeCell ref="DC2:DC7"/>
    <mergeCell ref="DD2:DD7"/>
    <mergeCell ref="DE2:DE7"/>
    <mergeCell ref="CZ2:CZ7"/>
    <mergeCell ref="DN2:DN7"/>
    <mergeCell ref="DO2:DO7"/>
    <mergeCell ref="DP2:DP7"/>
    <mergeCell ref="DG2:DG7"/>
    <mergeCell ref="DH2:DH7"/>
    <mergeCell ref="DI2:DI7"/>
    <mergeCell ref="DJ2:DJ7"/>
    <mergeCell ref="DK2:DK7"/>
    <mergeCell ref="DL2:DL7"/>
    <mergeCell ref="DM2:DM7"/>
    <mergeCell ref="F27:S27"/>
    <mergeCell ref="T27:AW27"/>
    <mergeCell ref="AX27:CD27"/>
    <mergeCell ref="CE27:DT27"/>
    <mergeCell ref="DG8:DG9"/>
    <mergeCell ref="DH8:DH9"/>
    <mergeCell ref="DI8:DI9"/>
    <mergeCell ref="DJ8:DJ9"/>
    <mergeCell ref="DK8:DK9"/>
    <mergeCell ref="DL8:DL9"/>
    <mergeCell ref="DM8:DM9"/>
    <mergeCell ref="DN8:DN9"/>
    <mergeCell ref="DO8:DO9"/>
    <mergeCell ref="DP8:DP9"/>
    <mergeCell ref="DA8:DA9"/>
    <mergeCell ref="DB8:DB9"/>
    <mergeCell ref="DC8:DC9"/>
    <mergeCell ref="DD8:DD9"/>
    <mergeCell ref="DE8:DE9"/>
    <mergeCell ref="CQ8:CQ9"/>
    <mergeCell ref="CR8:CR9"/>
    <mergeCell ref="CS8:CS9"/>
    <mergeCell ref="CT8:CT9"/>
    <mergeCell ref="CU8:CU9"/>
    <mergeCell ref="BK2:BK7"/>
    <mergeCell ref="BL2:BL7"/>
    <mergeCell ref="CE1:CI1"/>
    <mergeCell ref="CJ1:CK1"/>
    <mergeCell ref="CN2:CN7"/>
    <mergeCell ref="CO2:CO7"/>
    <mergeCell ref="CP2:CP7"/>
    <mergeCell ref="CB2:CB7"/>
    <mergeCell ref="CC2:CC7"/>
    <mergeCell ref="CD2:CD7"/>
    <mergeCell ref="CE2:CE7"/>
    <mergeCell ref="CF2:CF7"/>
    <mergeCell ref="CG2:CG7"/>
    <mergeCell ref="BN8:BN9"/>
    <mergeCell ref="CI8:CI9"/>
    <mergeCell ref="CJ8:CJ9"/>
    <mergeCell ref="CK8:CK9"/>
    <mergeCell ref="CL8:CL9"/>
    <mergeCell ref="BX8:BX9"/>
    <mergeCell ref="BY8:BY9"/>
    <mergeCell ref="BD2:BD7"/>
    <mergeCell ref="BE2:BE7"/>
    <mergeCell ref="BF2:BF7"/>
    <mergeCell ref="BG2:BG7"/>
    <mergeCell ref="BM2:BM7"/>
    <mergeCell ref="BN2:BN7"/>
    <mergeCell ref="BO2:BO7"/>
    <mergeCell ref="BP2:BP7"/>
    <mergeCell ref="CA2:CA7"/>
    <mergeCell ref="BW2:BW7"/>
    <mergeCell ref="BX2:BX7"/>
    <mergeCell ref="BY2:BY7"/>
    <mergeCell ref="BZ2:BZ7"/>
    <mergeCell ref="BH2:BH7"/>
    <mergeCell ref="BI2:BI7"/>
    <mergeCell ref="BJ2:BJ7"/>
    <mergeCell ref="AN1:AQ1"/>
    <mergeCell ref="AX1:AY1"/>
    <mergeCell ref="AZ1:BC1"/>
    <mergeCell ref="AX2:AX7"/>
    <mergeCell ref="AY2:AY7"/>
    <mergeCell ref="AZ2:AZ7"/>
    <mergeCell ref="BA2:BA7"/>
    <mergeCell ref="BB2:BB7"/>
    <mergeCell ref="BC2:BC7"/>
    <mergeCell ref="AP2:AP7"/>
    <mergeCell ref="AQ2:AQ7"/>
    <mergeCell ref="AR2:AR7"/>
    <mergeCell ref="AS2:AS7"/>
    <mergeCell ref="AT2:AT7"/>
    <mergeCell ref="AU2:AU7"/>
    <mergeCell ref="AV2:AV7"/>
    <mergeCell ref="AW2:AW7"/>
    <mergeCell ref="P1:S1"/>
    <mergeCell ref="T1:U1"/>
    <mergeCell ref="V1:Y1"/>
    <mergeCell ref="Z1:AA1"/>
    <mergeCell ref="AB1:AE1"/>
    <mergeCell ref="AG2:AG7"/>
    <mergeCell ref="AF1:AG1"/>
    <mergeCell ref="AH1:AK1"/>
    <mergeCell ref="AL1:AM1"/>
    <mergeCell ref="U2:U7"/>
    <mergeCell ref="V2:V7"/>
    <mergeCell ref="W2:W7"/>
    <mergeCell ref="X2:X7"/>
    <mergeCell ref="AF2:AF7"/>
    <mergeCell ref="CW2:CW7"/>
    <mergeCell ref="CU2:CU7"/>
    <mergeCell ref="CV2:CV7"/>
    <mergeCell ref="CQ1:CW1"/>
    <mergeCell ref="BV1:BW1"/>
    <mergeCell ref="CQ2:CQ7"/>
    <mergeCell ref="CR2:CR7"/>
    <mergeCell ref="CS2:CS7"/>
    <mergeCell ref="CT2:CT7"/>
    <mergeCell ref="CL1:CP1"/>
    <mergeCell ref="CI2:CI7"/>
    <mergeCell ref="CJ2:CJ7"/>
    <mergeCell ref="CK2:CK7"/>
    <mergeCell ref="CL2:CL7"/>
    <mergeCell ref="CM2:CM7"/>
    <mergeCell ref="BD1:BE1"/>
    <mergeCell ref="BR1:BU1"/>
    <mergeCell ref="CN8:CN9"/>
    <mergeCell ref="CO8:CO9"/>
    <mergeCell ref="CP8:CP9"/>
    <mergeCell ref="Y2:Y7"/>
    <mergeCell ref="Z2:Z7"/>
    <mergeCell ref="AA2:AA7"/>
    <mergeCell ref="AB2:AB7"/>
    <mergeCell ref="AC2:AC7"/>
    <mergeCell ref="AD2:AD7"/>
    <mergeCell ref="AE2:AE7"/>
    <mergeCell ref="AH2:AH7"/>
    <mergeCell ref="AI2:AI7"/>
    <mergeCell ref="AJ2:AJ7"/>
    <mergeCell ref="AK2:AK7"/>
    <mergeCell ref="AL2:AL7"/>
    <mergeCell ref="AM2:AM7"/>
    <mergeCell ref="AN2:AN7"/>
    <mergeCell ref="AO2:AO7"/>
    <mergeCell ref="BF1:BI1"/>
    <mergeCell ref="BJ1:BK1"/>
    <mergeCell ref="BL1:BO1"/>
    <mergeCell ref="CH2:CH7"/>
    <mergeCell ref="A1:D2"/>
    <mergeCell ref="AR1:AS1"/>
    <mergeCell ref="AT1:AW1"/>
    <mergeCell ref="E2:E7"/>
    <mergeCell ref="F2:F7"/>
    <mergeCell ref="G2:G7"/>
    <mergeCell ref="H2:H7"/>
    <mergeCell ref="I2:I7"/>
    <mergeCell ref="J2:J7"/>
    <mergeCell ref="K2:K7"/>
    <mergeCell ref="L2:L7"/>
    <mergeCell ref="M2:M7"/>
    <mergeCell ref="N2:N7"/>
    <mergeCell ref="O2:O7"/>
    <mergeCell ref="P2:P7"/>
    <mergeCell ref="Q2:Q7"/>
    <mergeCell ref="R2:R7"/>
    <mergeCell ref="S2:S7"/>
    <mergeCell ref="F1:G1"/>
    <mergeCell ref="H1:I1"/>
    <mergeCell ref="J1:K1"/>
    <mergeCell ref="L1:M1"/>
    <mergeCell ref="T2:T7"/>
    <mergeCell ref="N1:O1"/>
    <mergeCell ref="A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F8:F9"/>
    <mergeCell ref="G8:G9"/>
    <mergeCell ref="H8:H9"/>
    <mergeCell ref="I8:I9"/>
    <mergeCell ref="J8:J9"/>
    <mergeCell ref="K8:K9"/>
    <mergeCell ref="L8:L9"/>
    <mergeCell ref="A9:A10"/>
    <mergeCell ref="B9:B10"/>
    <mergeCell ref="C9:D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H8:BH9"/>
    <mergeCell ref="BI8:BI9"/>
    <mergeCell ref="BJ8:BJ9"/>
    <mergeCell ref="BK8:BK9"/>
    <mergeCell ref="BL8:BL9"/>
    <mergeCell ref="BM8:BM9"/>
    <mergeCell ref="E26:DT26"/>
    <mergeCell ref="DF8:DF9"/>
    <mergeCell ref="DQ8:DQ9"/>
    <mergeCell ref="DR8:DR9"/>
    <mergeCell ref="DS8:DS9"/>
    <mergeCell ref="DT8:DT9"/>
    <mergeCell ref="CY8:CY9"/>
    <mergeCell ref="CZ8:CZ9"/>
    <mergeCell ref="CM8:CM9"/>
    <mergeCell ref="CW8:CW9"/>
    <mergeCell ref="CX8:CX9"/>
    <mergeCell ref="BU8:BU9"/>
    <mergeCell ref="BV8:BV9"/>
    <mergeCell ref="BW8:BW9"/>
    <mergeCell ref="BF8:BF9"/>
    <mergeCell ref="BG8:BG9"/>
    <mergeCell ref="CG8:CG9"/>
    <mergeCell ref="CH8:CH9"/>
    <mergeCell ref="CX1:DB1"/>
    <mergeCell ref="BO8:BO9"/>
    <mergeCell ref="BP8:BP9"/>
    <mergeCell ref="BQ8:BQ9"/>
    <mergeCell ref="BR8:BR9"/>
    <mergeCell ref="BS8:BS9"/>
    <mergeCell ref="BT8:BT9"/>
    <mergeCell ref="BX1:CB1"/>
    <mergeCell ref="CC1:CD1"/>
    <mergeCell ref="BZ8:BZ9"/>
    <mergeCell ref="CA8:CA9"/>
    <mergeCell ref="CB8:CB9"/>
    <mergeCell ref="CC8:CC9"/>
    <mergeCell ref="CD8:CD9"/>
    <mergeCell ref="CE8:CE9"/>
    <mergeCell ref="CF8:CF9"/>
    <mergeCell ref="BP1:BQ1"/>
    <mergeCell ref="CV8:CV9"/>
    <mergeCell ref="BQ2:BQ7"/>
    <mergeCell ref="BR2:BR7"/>
    <mergeCell ref="BS2:BS7"/>
    <mergeCell ref="BT2:BT7"/>
    <mergeCell ref="BU2:BU7"/>
    <mergeCell ref="BV2:BV7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3"/>
  <sheetViews>
    <sheetView zoomScale="130" zoomScaleNormal="130" workbookViewId="0">
      <selection activeCell="I11" sqref="I11"/>
    </sheetView>
  </sheetViews>
  <sheetFormatPr defaultRowHeight="15" x14ac:dyDescent="0.25"/>
  <cols>
    <col min="2" max="2" width="32.7109375" customWidth="1"/>
    <col min="3" max="3" width="13.28515625" customWidth="1"/>
    <col min="4" max="4" width="23.140625" customWidth="1"/>
    <col min="5" max="5" width="15.5703125" customWidth="1"/>
    <col min="6" max="6" width="14.140625" customWidth="1"/>
    <col min="7" max="7" width="12.5703125" customWidth="1"/>
    <col min="8" max="8" width="16.42578125" customWidth="1"/>
  </cols>
  <sheetData>
    <row r="2" spans="1:8" ht="24.75" customHeight="1" x14ac:dyDescent="0.25">
      <c r="B2" s="80"/>
      <c r="C2" s="80"/>
      <c r="D2" s="79" t="s">
        <v>42</v>
      </c>
      <c r="E2" s="79"/>
      <c r="F2" s="79"/>
      <c r="G2" s="79"/>
      <c r="H2" s="79"/>
    </row>
    <row r="3" spans="1:8" x14ac:dyDescent="0.25">
      <c r="A3" s="39" t="s">
        <v>7</v>
      </c>
      <c r="B3" s="81" t="s">
        <v>8</v>
      </c>
      <c r="C3" s="82"/>
      <c r="D3" s="85" t="s">
        <v>37</v>
      </c>
      <c r="E3" s="78" t="s">
        <v>38</v>
      </c>
      <c r="F3" s="78" t="s">
        <v>41</v>
      </c>
      <c r="G3" s="78" t="s">
        <v>39</v>
      </c>
      <c r="H3" s="79" t="s">
        <v>40</v>
      </c>
    </row>
    <row r="4" spans="1:8" x14ac:dyDescent="0.25">
      <c r="A4" s="39"/>
      <c r="B4" s="83"/>
      <c r="C4" s="84"/>
      <c r="D4" s="86"/>
      <c r="E4" s="78"/>
      <c r="F4" s="78"/>
      <c r="G4" s="78"/>
      <c r="H4" s="79"/>
    </row>
    <row r="5" spans="1:8" ht="17.25" customHeight="1" x14ac:dyDescent="0.25">
      <c r="A5" s="9">
        <v>1</v>
      </c>
      <c r="B5" s="13" t="s">
        <v>12</v>
      </c>
      <c r="C5" s="13" t="s">
        <v>13</v>
      </c>
      <c r="D5" s="19">
        <f>COUNTIF(cms!F11:G11,0)</f>
        <v>1</v>
      </c>
      <c r="E5" s="19">
        <f>COUNTIF(cms!H11:Y11,0)</f>
        <v>3</v>
      </c>
      <c r="F5" s="19">
        <f>COUNTIF(cms!Z11:AY11,0)</f>
        <v>6</v>
      </c>
      <c r="G5" s="19">
        <f>COUNTIF(cms!AZ11:BU11,0)</f>
        <v>4</v>
      </c>
      <c r="H5" s="20"/>
    </row>
    <row r="6" spans="1:8" ht="17.25" customHeight="1" x14ac:dyDescent="0.25">
      <c r="A6" s="9">
        <v>2</v>
      </c>
      <c r="B6" s="13" t="s">
        <v>14</v>
      </c>
      <c r="C6" s="13" t="s">
        <v>15</v>
      </c>
      <c r="D6" s="19" t="e">
        <f>COUNTIF(cms!#REF!,0)</f>
        <v>#REF!</v>
      </c>
      <c r="E6" s="19" t="e">
        <f>COUNTIF(cms!#REF!,0)</f>
        <v>#REF!</v>
      </c>
      <c r="F6" s="19" t="e">
        <f>COUNTIF(cms!#REF!,0)</f>
        <v>#REF!</v>
      </c>
      <c r="G6" s="19" t="e">
        <f>COUNTIF(cms!#REF!,0)</f>
        <v>#REF!</v>
      </c>
      <c r="H6" s="20"/>
    </row>
    <row r="7" spans="1:8" ht="18" customHeight="1" x14ac:dyDescent="0.25">
      <c r="A7" s="9">
        <v>3</v>
      </c>
      <c r="B7" s="13" t="s">
        <v>16</v>
      </c>
      <c r="C7" s="13" t="s">
        <v>17</v>
      </c>
      <c r="D7" s="19">
        <f>COUNTIF(cms!F12:G12,0)</f>
        <v>2</v>
      </c>
      <c r="E7" s="19">
        <f>COUNTIF(cms!H12:Y12,0)</f>
        <v>7</v>
      </c>
      <c r="F7" s="19">
        <f>COUNTIF(cms!Z12:AY12,0)</f>
        <v>8</v>
      </c>
      <c r="G7" s="19">
        <f>COUNTIF(cms!AZ12:BU12,0)</f>
        <v>6</v>
      </c>
      <c r="H7" s="20"/>
    </row>
    <row r="8" spans="1:8" ht="14.25" customHeight="1" x14ac:dyDescent="0.25">
      <c r="A8" s="9">
        <v>4</v>
      </c>
      <c r="B8" s="13" t="s">
        <v>18</v>
      </c>
      <c r="C8" s="13" t="s">
        <v>19</v>
      </c>
      <c r="D8" s="19">
        <f>COUNTIF(cms!F13:G13,0)</f>
        <v>2</v>
      </c>
      <c r="E8" s="19">
        <f>COUNTIF(cms!H13:Y13,0)</f>
        <v>8</v>
      </c>
      <c r="F8" s="19">
        <f>COUNTIF(cms!Z13:AY13,0)</f>
        <v>12</v>
      </c>
      <c r="G8" s="19">
        <f>COUNTIF(cms!AZ13:BU13,0)</f>
        <v>9</v>
      </c>
      <c r="H8" s="20"/>
    </row>
    <row r="9" spans="1:8" ht="15" customHeight="1" x14ac:dyDescent="0.25">
      <c r="A9" s="9">
        <v>5</v>
      </c>
      <c r="B9" s="14" t="s">
        <v>20</v>
      </c>
      <c r="C9" s="14" t="s">
        <v>21</v>
      </c>
      <c r="D9" s="19" t="e">
        <f>COUNTIF(cms!#REF!,0)</f>
        <v>#REF!</v>
      </c>
      <c r="E9" s="19" t="e">
        <f>COUNTIF(cms!#REF!,0)</f>
        <v>#REF!</v>
      </c>
      <c r="F9" s="19" t="e">
        <f>COUNTIF(cms!#REF!,0)</f>
        <v>#REF!</v>
      </c>
      <c r="G9" s="19" t="e">
        <f>COUNTIF(cms!#REF!,0)</f>
        <v>#REF!</v>
      </c>
      <c r="H9" s="20"/>
    </row>
    <row r="10" spans="1:8" ht="15" customHeight="1" x14ac:dyDescent="0.25">
      <c r="A10" s="9">
        <v>6</v>
      </c>
      <c r="B10" s="13" t="s">
        <v>22</v>
      </c>
      <c r="C10" s="13" t="s">
        <v>23</v>
      </c>
      <c r="D10" s="19">
        <f>COUNTIF(cms!F14:G14,0)</f>
        <v>2</v>
      </c>
      <c r="E10" s="19">
        <f>COUNTIF(cms!H14:Y14,0)</f>
        <v>7</v>
      </c>
      <c r="F10" s="19">
        <f>COUNTIF(cms!Z14:AY14,0)</f>
        <v>20</v>
      </c>
      <c r="G10" s="19">
        <f>COUNTIF(cms!AZ14:BU14,0)</f>
        <v>16</v>
      </c>
      <c r="H10" s="20"/>
    </row>
    <row r="11" spans="1:8" ht="18" customHeight="1" x14ac:dyDescent="0.25">
      <c r="A11" s="9">
        <v>7</v>
      </c>
      <c r="B11" s="13" t="s">
        <v>24</v>
      </c>
      <c r="C11" s="13" t="s">
        <v>25</v>
      </c>
      <c r="D11" s="19">
        <f>COUNTIF(cms!F15:G15,0)</f>
        <v>1</v>
      </c>
      <c r="E11" s="19">
        <f>COUNTIF(cms!H15:Y15,0)</f>
        <v>6</v>
      </c>
      <c r="F11" s="19">
        <f>COUNTIF(cms!Z15:AY15,0)</f>
        <v>12</v>
      </c>
      <c r="G11" s="19">
        <f>COUNTIF(cms!AZ15:BU15,0)</f>
        <v>1</v>
      </c>
      <c r="H11" s="20"/>
    </row>
    <row r="12" spans="1:8" ht="17.25" customHeight="1" x14ac:dyDescent="0.25">
      <c r="A12" s="9">
        <v>8</v>
      </c>
      <c r="B12" s="13" t="s">
        <v>26</v>
      </c>
      <c r="C12" s="13" t="s">
        <v>27</v>
      </c>
      <c r="D12" s="19">
        <f>COUNTIF(cms!F16:G16,0)</f>
        <v>1</v>
      </c>
      <c r="E12" s="19">
        <f>COUNTIF(cms!H16:Y16,0)</f>
        <v>2</v>
      </c>
      <c r="F12" s="19">
        <f>COUNTIF(cms!Z16:AY16,0)</f>
        <v>16</v>
      </c>
      <c r="G12" s="19">
        <f>COUNTIF(cms!AZ16:BU16,0)</f>
        <v>16</v>
      </c>
      <c r="H12" s="20"/>
    </row>
    <row r="13" spans="1:8" ht="14.25" customHeight="1" x14ac:dyDescent="0.25">
      <c r="A13" s="9">
        <v>9</v>
      </c>
      <c r="B13" s="14" t="s">
        <v>31</v>
      </c>
      <c r="C13" s="14" t="s">
        <v>32</v>
      </c>
      <c r="D13" s="19" t="e">
        <f>COUNTIF(cms!#REF!,0)</f>
        <v>#REF!</v>
      </c>
      <c r="E13" s="19" t="e">
        <f>COUNTIF(cms!#REF!,0)</f>
        <v>#REF!</v>
      </c>
      <c r="F13" s="19" t="e">
        <f>COUNTIF(cms!#REF!,0)</f>
        <v>#REF!</v>
      </c>
      <c r="G13" s="19" t="e">
        <f>COUNTIF(cms!#REF!,0)</f>
        <v>#REF!</v>
      </c>
      <c r="H13" s="20"/>
    </row>
    <row r="14" spans="1:8" ht="13.5" customHeight="1" x14ac:dyDescent="0.25">
      <c r="A14" s="9">
        <v>10</v>
      </c>
      <c r="B14" s="13" t="s">
        <v>28</v>
      </c>
      <c r="C14" s="13" t="s">
        <v>29</v>
      </c>
      <c r="D14" s="19">
        <f>COUNTIF(cms!F17:G17,0)</f>
        <v>1</v>
      </c>
      <c r="E14" s="19">
        <f>COUNTIF(cms!H17:Y17,0)</f>
        <v>5</v>
      </c>
      <c r="F14" s="19">
        <f>COUNTIF(cms!Z17:AY17,0)</f>
        <v>10</v>
      </c>
      <c r="G14" s="19">
        <f>COUNTIF(cms!AZ17:BU17,0)</f>
        <v>3</v>
      </c>
      <c r="H14" s="20"/>
    </row>
    <row r="15" spans="1:8" x14ac:dyDescent="0.25">
      <c r="A15" s="9">
        <v>11</v>
      </c>
      <c r="B15" s="13" t="s">
        <v>30</v>
      </c>
      <c r="C15" s="13" t="s">
        <v>17</v>
      </c>
      <c r="D15" s="19">
        <f>COUNTIF(cms!F18:G18,0)</f>
        <v>1</v>
      </c>
      <c r="E15" s="19">
        <f>COUNTIF(cms!H18:Y18,0)</f>
        <v>10</v>
      </c>
      <c r="F15" s="19">
        <f>COUNTIF(cms!Z18:AY18,0)</f>
        <v>11</v>
      </c>
      <c r="G15" s="19">
        <f>COUNTIF(cms!AZ18:BU18,0)</f>
        <v>12</v>
      </c>
      <c r="H15" s="20"/>
    </row>
    <row r="16" spans="1:8" x14ac:dyDescent="0.25">
      <c r="A16" s="9">
        <v>11</v>
      </c>
      <c r="B16" s="10"/>
      <c r="C16" s="10"/>
      <c r="D16" s="20"/>
      <c r="E16" s="20"/>
      <c r="F16" s="20"/>
      <c r="G16" s="20"/>
      <c r="H16" s="20"/>
    </row>
    <row r="17" spans="1:8" x14ac:dyDescent="0.25">
      <c r="A17" s="9">
        <v>12</v>
      </c>
      <c r="B17" s="13"/>
      <c r="C17" s="10"/>
      <c r="D17" s="20"/>
      <c r="E17" s="20"/>
      <c r="F17" s="20"/>
      <c r="G17" s="20"/>
      <c r="H17" s="20"/>
    </row>
    <row r="18" spans="1:8" x14ac:dyDescent="0.25">
      <c r="A18" s="9">
        <v>13</v>
      </c>
      <c r="B18" s="10"/>
      <c r="C18" s="10"/>
      <c r="D18" s="20"/>
      <c r="E18" s="20"/>
      <c r="F18" s="20"/>
      <c r="G18" s="20"/>
      <c r="H18" s="20"/>
    </row>
    <row r="19" spans="1:8" x14ac:dyDescent="0.25">
      <c r="A19" s="9">
        <v>14</v>
      </c>
      <c r="B19" s="10"/>
      <c r="C19" s="10"/>
      <c r="D19" s="20"/>
      <c r="E19" s="20"/>
      <c r="F19" s="20"/>
      <c r="G19" s="20"/>
      <c r="H19" s="20"/>
    </row>
    <row r="20" spans="1:8" x14ac:dyDescent="0.25">
      <c r="A20" s="9">
        <v>15</v>
      </c>
      <c r="B20" s="10"/>
      <c r="C20" s="10"/>
      <c r="D20" s="20"/>
      <c r="E20" s="20"/>
      <c r="F20" s="20"/>
      <c r="G20" s="20"/>
      <c r="H20" s="20"/>
    </row>
    <row r="21" spans="1:8" x14ac:dyDescent="0.25">
      <c r="A21" s="9">
        <v>16</v>
      </c>
      <c r="B21" s="10"/>
      <c r="C21" s="10"/>
      <c r="D21" s="20"/>
      <c r="E21" s="20"/>
      <c r="F21" s="20"/>
      <c r="G21" s="20"/>
      <c r="H21" s="20"/>
    </row>
    <row r="22" spans="1:8" x14ac:dyDescent="0.25">
      <c r="A22" s="9">
        <v>17</v>
      </c>
      <c r="B22" s="10"/>
      <c r="C22" s="10"/>
      <c r="D22" s="20"/>
      <c r="E22" s="20"/>
      <c r="F22" s="20"/>
      <c r="G22" s="20"/>
      <c r="H22" s="20"/>
    </row>
    <row r="23" spans="1:8" x14ac:dyDescent="0.25">
      <c r="A23" s="9">
        <v>18</v>
      </c>
      <c r="B23" s="10"/>
      <c r="C23" s="10"/>
      <c r="D23" s="20"/>
      <c r="E23" s="20"/>
      <c r="F23" s="20"/>
      <c r="G23" s="20"/>
      <c r="H23" s="20"/>
    </row>
  </sheetData>
  <mergeCells count="9">
    <mergeCell ref="G3:G4"/>
    <mergeCell ref="H3:H4"/>
    <mergeCell ref="D2:H2"/>
    <mergeCell ref="B2:C2"/>
    <mergeCell ref="A3:A4"/>
    <mergeCell ref="B3:C4"/>
    <mergeCell ref="D3:D4"/>
    <mergeCell ref="E3:E4"/>
    <mergeCell ref="F3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cms</vt:lpstr>
      <vt:lpstr>გაცდენები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411</cp:lastModifiedBy>
  <cp:revision>74</cp:revision>
  <dcterms:created xsi:type="dcterms:W3CDTF">2015-06-05T18:17:20Z</dcterms:created>
  <dcterms:modified xsi:type="dcterms:W3CDTF">2026-07-31T08:10:51Z</dcterms:modified>
</cp:coreProperties>
</file>
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35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DO46" i="1" l="1"/>
  <c r="DO47" i="1"/>
  <c r="DO48" i="1"/>
  <c r="DO44" i="1" l="1"/>
  <c r="DO41" i="1"/>
  <c r="DO38" i="1"/>
  <c r="DO35" i="1"/>
  <c r="DO32" i="1"/>
  <c r="DO29" i="1"/>
  <c r="DO26" i="1"/>
  <c r="DO23" i="1"/>
  <c r="DO17" i="1"/>
  <c r="DO5" i="1"/>
  <c r="DO9" i="1" l="1"/>
  <c r="DO8" i="1"/>
  <c r="DO7" i="1"/>
  <c r="DO6" i="1"/>
  <c r="CD50" i="1" l="1"/>
  <c r="DO45" i="1" l="1"/>
  <c r="DO39" i="1" l="1"/>
  <c r="DO40" i="1"/>
  <c r="DO43" i="1"/>
  <c r="DO19" i="1"/>
  <c r="DO31" i="1"/>
  <c r="BV50" i="1"/>
  <c r="BW50" i="1"/>
  <c r="BX50" i="1"/>
  <c r="BY50" i="1"/>
  <c r="BZ50" i="1"/>
  <c r="CA50" i="1"/>
  <c r="CB50" i="1"/>
  <c r="CB1048250" i="1" s="1"/>
  <c r="CC50" i="1"/>
  <c r="CE50" i="1"/>
  <c r="CF50" i="1"/>
  <c r="CG50" i="1"/>
  <c r="CH50" i="1"/>
  <c r="CI50" i="1"/>
  <c r="CJ50" i="1"/>
  <c r="CK50" i="1"/>
  <c r="CL50" i="1"/>
  <c r="CM50" i="1"/>
  <c r="CN50" i="1"/>
  <c r="CO50" i="1"/>
  <c r="CP50" i="1"/>
  <c r="CQ50" i="1"/>
  <c r="CR50" i="1"/>
  <c r="CS50" i="1"/>
  <c r="CT50" i="1"/>
  <c r="CU50" i="1"/>
  <c r="CV50" i="1"/>
  <c r="CW50" i="1"/>
  <c r="CX50" i="1"/>
  <c r="CY50" i="1"/>
  <c r="CZ50" i="1"/>
  <c r="DA50" i="1"/>
  <c r="DB50" i="1"/>
  <c r="DC50" i="1"/>
  <c r="DD50" i="1"/>
  <c r="DE50" i="1"/>
  <c r="DF50" i="1"/>
  <c r="DG50" i="1"/>
  <c r="DH50" i="1"/>
  <c r="DI50" i="1"/>
  <c r="DJ50" i="1"/>
  <c r="DK50" i="1"/>
  <c r="DL50" i="1"/>
  <c r="DM50" i="1"/>
  <c r="DN50" i="1"/>
  <c r="DO16" i="1"/>
  <c r="DO14" i="1"/>
  <c r="DO22" i="1"/>
  <c r="DO34" i="1"/>
  <c r="DO36" i="1"/>
  <c r="DO37" i="1"/>
  <c r="DO25" i="1"/>
  <c r="DO12" i="1"/>
  <c r="DO10" i="1"/>
  <c r="DO20" i="1"/>
  <c r="DO4" i="1"/>
  <c r="DO11" i="1"/>
  <c r="DO13" i="1"/>
  <c r="DO15" i="1"/>
  <c r="DO18" i="1"/>
  <c r="DO24" i="1"/>
  <c r="DO27" i="1"/>
  <c r="DO28" i="1"/>
  <c r="DO30" i="1"/>
  <c r="DO33" i="1"/>
  <c r="DO42" i="1"/>
  <c r="BI50" i="1"/>
  <c r="BJ50" i="1"/>
  <c r="BL50" i="1"/>
  <c r="BM50" i="1"/>
  <c r="BN50" i="1"/>
  <c r="BO50" i="1"/>
  <c r="BP50" i="1"/>
  <c r="BQ50" i="1"/>
  <c r="BR50" i="1"/>
  <c r="BS50" i="1"/>
  <c r="BT50" i="1"/>
  <c r="BU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D50" i="1"/>
  <c r="C50" i="1"/>
  <c r="E50" i="1"/>
  <c r="F50" i="1"/>
  <c r="G50" i="1"/>
  <c r="H50" i="1"/>
  <c r="DO49" i="1" l="1"/>
</calcChain>
</file>

<file path=xl/comments1.xml><?xml version="1.0" encoding="utf-8"?>
<comments xmlns="http://schemas.openxmlformats.org/spreadsheetml/2006/main">
  <authors>
    <author>Author</author>
  </authors>
  <commentList>
    <comment ref="AW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N1,2,3
2სთ</t>
        </r>
      </text>
    </comment>
    <comment ref="AX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N1,2,3
2სთ</t>
        </r>
      </text>
    </comment>
    <comment ref="AY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N1,2,3
2სთ</t>
        </r>
      </text>
    </comment>
    <comment ref="AZ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N1,2,3
2სთ</t>
        </r>
      </text>
    </comment>
    <comment ref="BJ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N4
2 სთ.</t>
        </r>
      </text>
    </comment>
    <comment ref="S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N1
2 სთ.
</t>
        </r>
      </text>
    </comment>
    <comment ref="AA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N2
2სთ</t>
        </r>
      </text>
    </comment>
    <comment ref="AG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N3
1სთ</t>
        </r>
      </text>
    </comment>
    <comment ref="AK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N4
1სთ</t>
        </r>
      </text>
    </comment>
    <comment ref="AQ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ს.შ. N5
1სთ.</t>
        </r>
      </text>
    </comment>
    <comment ref="N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ს.შ N1
1 სთ</t>
        </r>
      </text>
    </comment>
    <comment ref="Q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ს.შ N2
2 სთ</t>
        </r>
      </text>
    </comment>
    <comment ref="U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ს.შ N3
1 სთ</t>
        </r>
      </text>
    </comment>
    <comment ref="AC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ს.შ N4
1 სთ</t>
        </r>
      </text>
    </comment>
    <comment ref="AD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ს.შ N4
1 სთ</t>
        </r>
      </text>
    </comment>
    <comment ref="AS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ს.შ N5 
1 სთ</t>
        </r>
      </text>
    </comment>
    <comment ref="AT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ს.შ N5
2 სთ</t>
        </r>
      </text>
    </comment>
    <comment ref="AX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ს.შ N6
1 სთ</t>
        </r>
      </text>
    </comment>
    <comment ref="R2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ს.შ N1
1 სთ</t>
        </r>
      </text>
    </comment>
    <comment ref="AB2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ს.შ N2
2 სთ.</t>
        </r>
      </text>
    </comment>
    <comment ref="AI2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ს.შ N3
1 სთ
</t>
        </r>
      </text>
    </comment>
    <comment ref="AN2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ს.შ N4
2 სთ</t>
        </r>
      </text>
    </comment>
    <comment ref="AT2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ს.შ N5 
1 სთ</t>
        </r>
      </text>
    </comment>
    <comment ref="AZ2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ს.შ N6
1 სთ</t>
        </r>
      </text>
    </comment>
    <comment ref="CN2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N1,2,3
2 სთ
</t>
        </r>
      </text>
    </comment>
    <comment ref="CO2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N1,2,3
1სთ.</t>
        </r>
      </text>
    </comment>
    <comment ref="DH2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N4,5
 2 სთ.</t>
        </r>
      </text>
    </comment>
    <comment ref="BD3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N1
1 სთ</t>
        </r>
      </text>
    </comment>
    <comment ref="BJ3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N2
1 სთ</t>
        </r>
      </text>
    </comment>
    <comment ref="BP3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N3
1 სთ.
</t>
        </r>
      </text>
    </comment>
    <comment ref="BU3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N4
1 სთ
</t>
        </r>
      </text>
    </comment>
    <comment ref="BY3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N5
1 სთ.</t>
        </r>
      </text>
    </comment>
    <comment ref="CC3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N1
1 სთ</t>
        </r>
      </text>
    </comment>
    <comment ref="CH3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N2
3 სთ</t>
        </r>
      </text>
    </comment>
    <comment ref="CN3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N3
2 სთ.</t>
        </r>
      </text>
    </comment>
    <comment ref="CS3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N4
1 სთ.</t>
        </r>
      </text>
    </comment>
    <comment ref="CY3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ს.შN1
2 სთ</t>
        </r>
      </text>
    </comment>
    <comment ref="DD3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N2
1 სთ</t>
        </r>
      </text>
    </comment>
    <comment ref="DH3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N3
 1 სთ</t>
        </r>
      </text>
    </comment>
    <comment ref="CY4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N1
2 სთ</t>
        </r>
      </text>
    </comment>
    <comment ref="DD4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 2
1 სთ</t>
        </r>
      </text>
    </comment>
    <comment ref="DH4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N3
1 სთ</t>
        </r>
      </text>
    </comment>
    <comment ref="BI4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N1
1 სთ</t>
        </r>
      </text>
    </comment>
    <comment ref="BR4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N2
1 სთ.</t>
        </r>
      </text>
    </comment>
    <comment ref="CM4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 N3
1 სთ.</t>
        </r>
      </text>
    </comment>
    <comment ref="CR4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ს.შN4
1 სთ</t>
        </r>
      </text>
    </comment>
    <comment ref="DN4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ყველა ს.შ
3 სთ</t>
        </r>
      </text>
    </comment>
  </commentList>
</comments>
</file>

<file path=xl/sharedStrings.xml><?xml version="1.0" encoding="utf-8"?>
<sst xmlns="http://schemas.openxmlformats.org/spreadsheetml/2006/main" count="76" uniqueCount="44">
  <si>
    <t>კვირეები</t>
  </si>
  <si>
    <t>კრედიტები</t>
  </si>
  <si>
    <t>სულ სთ.</t>
  </si>
  <si>
    <t>შეფასება</t>
  </si>
  <si>
    <t>საკონტაქტო</t>
  </si>
  <si>
    <t>საკონტ. დამოუკიდ. გარეშე</t>
  </si>
  <si>
    <t>ინფორმაციული წიგნიერება  1  0610003</t>
  </si>
  <si>
    <t>უცხოური ენა- ინგლისური  0230102</t>
  </si>
  <si>
    <t>ვებგვერდის მარკირება და სტილებით გაფორმება 0611402</t>
  </si>
  <si>
    <t>დარგობრივი ინგლისური ენა ვებტექნოლოგიებში 0611404</t>
  </si>
  <si>
    <t>გრაფიკული გამოსახულების შექმნა-დამუშავება 0611403</t>
  </si>
  <si>
    <t>ვებგვერდის ინტერაქტივისა და ეფექტების შემუშავება  - JavaScript 0611405</t>
  </si>
  <si>
    <t>პრაქტიკული პროექტი - ვებტექნოლოგიები 0611401</t>
  </si>
  <si>
    <t>ქართული  ენა   B1     0110002</t>
  </si>
  <si>
    <t>ვექტორული გამოსახულების დამუშავება (Adobe Illustrator) 0611409</t>
  </si>
  <si>
    <t>ვებგვერდის მართვის სისტემების (СMS) გამოყენება 0611406</t>
  </si>
  <si>
    <t>ვებგვერდის მარკირება Bootstrap-ის სპეციალიზებული ბიბლიოთეკების საშუალებით 0611407</t>
  </si>
  <si>
    <t>ვებგვერდის ინტერაქტივისა და ეფექტების შემუშავება  - Angular-ის საშუალებით 0611408</t>
  </si>
  <si>
    <t xml:space="preserve"> ზოგადი მოდულები</t>
  </si>
  <si>
    <t xml:space="preserve"> პროფესიული მოდულები</t>
  </si>
  <si>
    <t>კომუნიკაცია ქართულ ენაზე 0230000</t>
  </si>
  <si>
    <t>მათემატიკური წიგნიერება 0540000</t>
  </si>
  <si>
    <t>მეწარმეობა 0480000</t>
  </si>
  <si>
    <t>მოქალაქეობა 0380000</t>
  </si>
  <si>
    <t>მეცნიერება და ტექნოლოგიები 0580000</t>
  </si>
  <si>
    <t>ქართული ენა  A2     0110001</t>
  </si>
  <si>
    <t>სულ:</t>
  </si>
  <si>
    <t>მოდულის დასახელება და სარეგისტრაციო ნომერი</t>
  </si>
  <si>
    <t>პირველი ეტაპის მოდულები</t>
  </si>
  <si>
    <t>მეორე ეტაპის მოდულები</t>
  </si>
  <si>
    <t>მესამე ეტაპის მოდულები</t>
  </si>
  <si>
    <t>მეოთხე ეტაპის მოდულები</t>
  </si>
  <si>
    <t xml:space="preserve"> </t>
  </si>
  <si>
    <t>შეფასების კვირა</t>
  </si>
  <si>
    <t>შეფასების საათი</t>
  </si>
  <si>
    <t>მეხუთე ეტაპ. მოდულ</t>
  </si>
  <si>
    <t>პროგრამა: ვებტექნოლოგიები (ინტეგრირებული)</t>
  </si>
  <si>
    <t>პროგრამის დანართი №21 –  სასწავლო გეგმა, რომელშიც ინტეგრირებულია ზოგადი განათლების საშუალო საფეხურის სწავლის შედეგები</t>
  </si>
  <si>
    <t>დამოუკიდ.</t>
  </si>
  <si>
    <t>შ უ ა ლ ე დ უ რ ი   შ ე ფ ა ს ე ბ ა</t>
  </si>
  <si>
    <t>საათები</t>
  </si>
  <si>
    <t>შეფ.</t>
  </si>
  <si>
    <t>საკ.</t>
  </si>
  <si>
    <t>დამ.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</si>
</sst>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9"/>
      <color theme="1"/>
      <name val="Sylfaen"/>
      <family val="1"/>
      <charset val="204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charset val="204"/>
      <scheme val="minor"/>
    </font>
    <font>
      <sz val="9"/>
      <color rgb="FFFF0000"/>
      <name val="Calibri"/>
      <family val="2"/>
      <scheme val="minor"/>
    </font>
    <font>
      <sz val="9"/>
      <color theme="1"/>
      <name val="Sylfaen"/>
      <family val="1"/>
    </font>
    <font>
      <sz val="9"/>
      <name val="Sylfaen"/>
      <family val="1"/>
    </font>
    <font>
      <b/>
      <sz val="9"/>
      <color theme="1"/>
      <name val="Sylfaen"/>
      <family val="1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Sylfaen"/>
      <family val="1"/>
      <charset val="204"/>
    </font>
    <font>
      <sz val="10"/>
      <color theme="1"/>
      <name val="Sylfaen"/>
      <family val="1"/>
    </font>
    <font>
      <b/>
      <sz val="10"/>
      <color theme="1"/>
      <name val="Sylfaen"/>
      <family val="1"/>
      <charset val="204"/>
    </font>
    <font>
      <b/>
      <sz val="10"/>
      <color theme="1"/>
      <name val="Sylfaen"/>
      <family val="1"/>
    </font>
    <font>
      <sz val="10"/>
      <name val="Sylfaen"/>
      <family val="1"/>
    </font>
    <font>
      <b/>
      <sz val="10"/>
      <name val="Sylfaen"/>
      <family val="1"/>
    </font>
  </fonts>
  <fills count="1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8">
    <xf numFmtId="0" fontId="0" fillId="0" borderId="0" xfId="0"/>
    <xf numFmtId="0" fontId="0" fillId="3" borderId="4" xfId="0" applyFill="1" applyBorder="1"/>
    <xf numFmtId="0" fontId="0" fillId="3" borderId="0" xfId="0" applyFill="1" applyBorder="1"/>
    <xf numFmtId="0" fontId="0" fillId="3" borderId="0" xfId="0" applyFill="1"/>
    <xf numFmtId="0" fontId="0" fillId="3" borderId="7" xfId="0" applyFill="1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2" fillId="0" borderId="0" xfId="0" applyFont="1"/>
    <xf numFmtId="0" fontId="3" fillId="0" borderId="4" xfId="0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textRotation="90" wrapText="1"/>
    </xf>
    <xf numFmtId="0" fontId="1" fillId="5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/>
    </xf>
    <xf numFmtId="0" fontId="2" fillId="5" borderId="4" xfId="0" applyFont="1" applyFill="1" applyBorder="1"/>
    <xf numFmtId="0" fontId="2" fillId="4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/>
    <xf numFmtId="0" fontId="2" fillId="5" borderId="4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1" fillId="5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4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/>
    </xf>
    <xf numFmtId="0" fontId="3" fillId="3" borderId="4" xfId="0" applyFont="1" applyFill="1" applyBorder="1"/>
    <xf numFmtId="0" fontId="3" fillId="3" borderId="4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 wrapText="1"/>
    </xf>
    <xf numFmtId="0" fontId="2" fillId="9" borderId="4" xfId="0" applyFont="1" applyFill="1" applyBorder="1"/>
    <xf numFmtId="0" fontId="2" fillId="9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right"/>
    </xf>
    <xf numFmtId="0" fontId="2" fillId="4" borderId="4" xfId="0" applyFont="1" applyFill="1" applyBorder="1"/>
    <xf numFmtId="0" fontId="2" fillId="4" borderId="3" xfId="0" applyFont="1" applyFill="1" applyBorder="1"/>
    <xf numFmtId="0" fontId="2" fillId="2" borderId="3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right"/>
    </xf>
    <xf numFmtId="0" fontId="2" fillId="3" borderId="0" xfId="0" applyFont="1" applyFill="1" applyBorder="1"/>
    <xf numFmtId="0" fontId="5" fillId="0" borderId="0" xfId="0" applyFont="1"/>
    <xf numFmtId="0" fontId="2" fillId="4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/>
    <xf numFmtId="0" fontId="2" fillId="3" borderId="0" xfId="0" applyFont="1" applyFill="1" applyBorder="1" applyAlignment="1">
      <alignment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8" borderId="4" xfId="0" applyFont="1" applyFill="1" applyBorder="1"/>
    <xf numFmtId="0" fontId="2" fillId="0" borderId="0" xfId="0" applyFont="1" applyAlignment="1"/>
    <xf numFmtId="0" fontId="2" fillId="6" borderId="4" xfId="0" applyFont="1" applyFill="1" applyBorder="1"/>
    <xf numFmtId="0" fontId="2" fillId="10" borderId="4" xfId="0" applyFont="1" applyFill="1" applyBorder="1"/>
    <xf numFmtId="0" fontId="2" fillId="8" borderId="4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/>
    </xf>
    <xf numFmtId="0" fontId="7" fillId="3" borderId="4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1" fillId="0" borderId="4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1" fillId="13" borderId="4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left" vertical="center" wrapText="1"/>
    </xf>
    <xf numFmtId="0" fontId="1" fillId="14" borderId="4" xfId="0" applyFont="1" applyFill="1" applyBorder="1" applyAlignment="1">
      <alignment horizontal="center" vertical="center" wrapText="1"/>
    </xf>
    <xf numFmtId="0" fontId="2" fillId="14" borderId="4" xfId="0" applyFont="1" applyFill="1" applyBorder="1"/>
    <xf numFmtId="0" fontId="8" fillId="4" borderId="4" xfId="0" applyFont="1" applyFill="1" applyBorder="1" applyAlignment="1">
      <alignment horizontal="right" vertical="center"/>
    </xf>
    <xf numFmtId="0" fontId="18" fillId="0" borderId="7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/>
    </xf>
    <xf numFmtId="0" fontId="2" fillId="13" borderId="4" xfId="0" applyFont="1" applyFill="1" applyBorder="1"/>
    <xf numFmtId="0" fontId="4" fillId="0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textRotation="90" wrapText="1"/>
    </xf>
    <xf numFmtId="0" fontId="8" fillId="4" borderId="4" xfId="0" applyFont="1" applyFill="1" applyBorder="1" applyAlignment="1">
      <alignment horizontal="center" textRotation="90"/>
    </xf>
    <xf numFmtId="0" fontId="7" fillId="0" borderId="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textRotation="90" wrapText="1"/>
    </xf>
    <xf numFmtId="0" fontId="8" fillId="3" borderId="4" xfId="0" applyFont="1" applyFill="1" applyBorder="1" applyAlignment="1">
      <alignment horizontal="center" textRotation="90"/>
    </xf>
    <xf numFmtId="0" fontId="4" fillId="3" borderId="4" xfId="0" applyFont="1" applyFill="1" applyBorder="1" applyAlignment="1">
      <alignment horizontal="center" textRotation="90"/>
    </xf>
    <xf numFmtId="0" fontId="2" fillId="3" borderId="4" xfId="0" applyFont="1" applyFill="1" applyBorder="1" applyAlignment="1">
      <alignment horizontal="center" vertical="center" textRotation="90" wrapText="1"/>
    </xf>
    <xf numFmtId="0" fontId="3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 wrapText="1"/>
    </xf>
    <xf numFmtId="0" fontId="19" fillId="0" borderId="7" xfId="0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0" fontId="17" fillId="0" borderId="4" xfId="0" applyFont="1" applyFill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wrapText="1"/>
    </xf>
    <xf numFmtId="0" fontId="19" fillId="0" borderId="4" xfId="0" applyFont="1" applyFill="1" applyBorder="1" applyAlignment="1">
      <alignment horizontal="center" vertical="center"/>
    </xf>
    <xf numFmtId="0" fontId="19" fillId="0" borderId="6" xfId="0" applyFont="1" applyFill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21" fillId="3" borderId="4" xfId="0" applyFont="1" applyFill="1" applyBorder="1" applyAlignment="1">
      <alignment horizontal="center" vertical="center" wrapText="1"/>
    </xf>
    <xf numFmtId="0" fontId="20" fillId="3" borderId="4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0" fontId="19" fillId="4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19" fillId="4" borderId="4" xfId="0" applyFont="1" applyFill="1" applyBorder="1" applyAlignment="1">
      <alignment horizontal="center" vertical="center"/>
    </xf>
    <xf numFmtId="0" fontId="17" fillId="5" borderId="5" xfId="0" applyFont="1" applyFill="1" applyBorder="1" applyAlignment="1">
      <alignment horizontal="left" vertical="center" wrapText="1"/>
    </xf>
    <xf numFmtId="0" fontId="17" fillId="5" borderId="7" xfId="0" applyFont="1" applyFill="1" applyBorder="1" applyAlignment="1">
      <alignment horizontal="left" vertical="center" wrapText="1"/>
    </xf>
    <xf numFmtId="0" fontId="17" fillId="5" borderId="6" xfId="0" applyFont="1" applyFill="1" applyBorder="1" applyAlignment="1">
      <alignment horizontal="left" vertical="center" wrapText="1"/>
    </xf>
    <xf numFmtId="0" fontId="17" fillId="5" borderId="5" xfId="0" applyFont="1" applyFill="1" applyBorder="1" applyAlignment="1">
      <alignment horizontal="left" vertical="center"/>
    </xf>
    <xf numFmtId="0" fontId="17" fillId="5" borderId="7" xfId="0" applyFont="1" applyFill="1" applyBorder="1" applyAlignment="1">
      <alignment horizontal="left" vertical="center"/>
    </xf>
    <xf numFmtId="0" fontId="17" fillId="5" borderId="6" xfId="0" applyFont="1" applyFill="1" applyBorder="1" applyAlignment="1">
      <alignment horizontal="left" vertical="center"/>
    </xf>
    <xf numFmtId="0" fontId="17" fillId="0" borderId="5" xfId="0" applyFont="1" applyFill="1" applyBorder="1" applyAlignment="1">
      <alignment horizontal="center" vertical="center" wrapText="1"/>
    </xf>
    <xf numFmtId="0" fontId="17" fillId="0" borderId="7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 wrapText="1"/>
    </xf>
    <xf numFmtId="0" fontId="17" fillId="0" borderId="5" xfId="0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left" vertical="center" wrapText="1"/>
    </xf>
    <xf numFmtId="0" fontId="16" fillId="5" borderId="7" xfId="0" applyFont="1" applyFill="1" applyBorder="1" applyAlignment="1">
      <alignment horizontal="left" vertical="center" wrapText="1"/>
    </xf>
    <xf numFmtId="0" fontId="16" fillId="5" borderId="6" xfId="0" applyFont="1" applyFill="1" applyBorder="1" applyAlignment="1">
      <alignment horizontal="left" vertical="center" wrapText="1"/>
    </xf>
    <xf numFmtId="0" fontId="19" fillId="0" borderId="5" xfId="0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horizontal="center" vertical="center"/>
    </xf>
    <xf numFmtId="0" fontId="19" fillId="0" borderId="6" xfId="0" applyFont="1" applyFill="1" applyBorder="1" applyAlignment="1">
      <alignment horizontal="center" vertical="center"/>
    </xf>
    <xf numFmtId="0" fontId="19" fillId="4" borderId="5" xfId="0" applyFont="1" applyFill="1" applyBorder="1" applyAlignment="1">
      <alignment horizontal="center" vertical="center" textRotation="90" wrapText="1"/>
    </xf>
    <xf numFmtId="0" fontId="19" fillId="4" borderId="7" xfId="0" applyFont="1" applyFill="1" applyBorder="1" applyAlignment="1">
      <alignment horizontal="center" vertical="center" textRotation="90" wrapText="1"/>
    </xf>
    <xf numFmtId="0" fontId="19" fillId="4" borderId="6" xfId="0" applyFont="1" applyFill="1" applyBorder="1" applyAlignment="1">
      <alignment horizontal="center" vertical="center" textRotation="90" wrapText="1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17" fillId="13" borderId="5" xfId="0" applyFont="1" applyFill="1" applyBorder="1" applyAlignment="1">
      <alignment horizontal="left" vertical="center" wrapText="1"/>
    </xf>
    <xf numFmtId="0" fontId="17" fillId="13" borderId="6" xfId="0" applyFont="1" applyFill="1" applyBorder="1" applyAlignment="1">
      <alignment horizontal="left" vertical="center" wrapText="1"/>
    </xf>
    <xf numFmtId="0" fontId="9" fillId="3" borderId="7" xfId="0" applyFont="1" applyFill="1" applyBorder="1" applyAlignment="1">
      <alignment horizontal="center" vertical="center"/>
    </xf>
    <xf numFmtId="0" fontId="19" fillId="0" borderId="5" xfId="0" applyFont="1" applyFill="1" applyBorder="1" applyAlignment="1">
      <alignment horizontal="center" vertical="center" wrapText="1"/>
    </xf>
    <xf numFmtId="0" fontId="19" fillId="0" borderId="7" xfId="0" applyFont="1" applyFill="1" applyBorder="1" applyAlignment="1">
      <alignment horizontal="center" vertical="center" wrapText="1"/>
    </xf>
    <xf numFmtId="0" fontId="19" fillId="0" borderId="6" xfId="0" applyFont="1" applyFill="1" applyBorder="1" applyAlignment="1">
      <alignment horizontal="center" vertical="center" wrapText="1"/>
    </xf>
    <xf numFmtId="0" fontId="17" fillId="6" borderId="5" xfId="0" applyFont="1" applyFill="1" applyBorder="1" applyAlignment="1">
      <alignment horizontal="left" vertical="center" wrapText="1"/>
    </xf>
    <xf numFmtId="0" fontId="17" fillId="6" borderId="7" xfId="0" applyFont="1" applyFill="1" applyBorder="1" applyAlignment="1">
      <alignment horizontal="left" vertical="center" wrapText="1"/>
    </xf>
    <xf numFmtId="0" fontId="17" fillId="6" borderId="6" xfId="0" applyFont="1" applyFill="1" applyBorder="1" applyAlignment="1">
      <alignment horizontal="left" vertical="center" wrapText="1"/>
    </xf>
    <xf numFmtId="0" fontId="20" fillId="0" borderId="5" xfId="0" applyFont="1" applyFill="1" applyBorder="1" applyAlignment="1">
      <alignment horizontal="center" vertical="center"/>
    </xf>
    <xf numFmtId="0" fontId="20" fillId="0" borderId="6" xfId="0" applyFont="1" applyFill="1" applyBorder="1" applyAlignment="1">
      <alignment horizontal="center" vertical="center"/>
    </xf>
    <xf numFmtId="0" fontId="17" fillId="0" borderId="4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 wrapText="1"/>
    </xf>
    <xf numFmtId="0" fontId="16" fillId="13" borderId="5" xfId="0" applyFont="1" applyFill="1" applyBorder="1" applyAlignment="1">
      <alignment horizontal="left" vertical="center" wrapText="1"/>
    </xf>
    <xf numFmtId="0" fontId="16" fillId="13" borderId="7" xfId="0" applyFont="1" applyFill="1" applyBorder="1" applyAlignment="1">
      <alignment horizontal="left" vertical="center" wrapText="1"/>
    </xf>
    <xf numFmtId="0" fontId="16" fillId="13" borderId="6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6" fillId="15" borderId="5" xfId="0" applyFont="1" applyFill="1" applyBorder="1" applyAlignment="1">
      <alignment horizontal="left" vertical="center" wrapText="1"/>
    </xf>
    <xf numFmtId="0" fontId="16" fillId="15" borderId="7" xfId="0" applyFont="1" applyFill="1" applyBorder="1" applyAlignment="1">
      <alignment horizontal="left" vertical="center" wrapText="1"/>
    </xf>
    <xf numFmtId="0" fontId="16" fillId="15" borderId="6" xfId="0" applyFont="1" applyFill="1" applyBorder="1" applyAlignment="1">
      <alignment horizontal="left" vertical="center" wrapText="1"/>
    </xf>
    <xf numFmtId="0" fontId="16" fillId="6" borderId="5" xfId="0" applyFont="1" applyFill="1" applyBorder="1" applyAlignment="1">
      <alignment horizontal="left" vertical="center" wrapText="1"/>
    </xf>
    <xf numFmtId="0" fontId="16" fillId="6" borderId="7" xfId="0" applyFont="1" applyFill="1" applyBorder="1" applyAlignment="1">
      <alignment horizontal="left" vertical="center" wrapText="1"/>
    </xf>
    <xf numFmtId="0" fontId="16" fillId="6" borderId="6" xfId="0" applyFont="1" applyFill="1" applyBorder="1" applyAlignment="1">
      <alignment horizontal="left" vertical="center" wrapText="1"/>
    </xf>
    <xf numFmtId="0" fontId="16" fillId="10" borderId="5" xfId="0" applyFont="1" applyFill="1" applyBorder="1" applyAlignment="1">
      <alignment horizontal="left" vertical="center" wrapText="1"/>
    </xf>
    <xf numFmtId="0" fontId="16" fillId="10" borderId="7" xfId="0" applyFont="1" applyFill="1" applyBorder="1" applyAlignment="1">
      <alignment horizontal="left" vertical="center" wrapText="1"/>
    </xf>
    <xf numFmtId="0" fontId="16" fillId="10" borderId="6" xfId="0" applyFont="1" applyFill="1" applyBorder="1" applyAlignment="1">
      <alignment horizontal="left" vertical="center" wrapText="1"/>
    </xf>
    <xf numFmtId="0" fontId="17" fillId="10" borderId="5" xfId="0" applyFont="1" applyFill="1" applyBorder="1" applyAlignment="1">
      <alignment horizontal="left" vertical="center" wrapText="1"/>
    </xf>
    <xf numFmtId="0" fontId="17" fillId="10" borderId="7" xfId="0" applyFont="1" applyFill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P1048250"/>
  <sheetViews>
    <sheetView tabSelected="1" view="pageBreakPreview" zoomScale="106" zoomScaleNormal="106" zoomScaleSheetLayoutView="106" workbookViewId="0">
      <pane xSplit="8" ySplit="2" topLeftCell="CE27" activePane="bottomRight" state="frozen"/>
      <selection pane="topRight" activeCell="L1" sqref="L1"/>
      <selection pane="bottomLeft" activeCell="A3" sqref="A3"/>
      <selection pane="bottomRight" activeCell="CT37" sqref="CT37"/>
    </sheetView>
  </sheetViews>
  <sheetFormatPr defaultRowHeight="15" x14ac:dyDescent="0.25"/>
  <cols>
    <col min="1" max="1" width="4.28515625" style="3" customWidth="1"/>
    <col min="2" max="2" width="37.5703125" customWidth="1"/>
    <col min="3" max="3" width="4.7109375" customWidth="1"/>
    <col min="4" max="4" width="7" customWidth="1"/>
    <col min="5" max="6" width="5.85546875" customWidth="1"/>
    <col min="7" max="8" width="4.7109375" customWidth="1"/>
    <col min="9" max="9" width="5.7109375" customWidth="1"/>
    <col min="10" max="72" width="3.5703125" customWidth="1"/>
    <col min="73" max="82" width="4" customWidth="1"/>
    <col min="83" max="92" width="3.85546875" customWidth="1"/>
    <col min="93" max="93" width="4.42578125" customWidth="1"/>
    <col min="94" max="97" width="3.85546875" customWidth="1"/>
    <col min="98" max="98" width="4.85546875" customWidth="1"/>
    <col min="99" max="118" width="3.85546875" customWidth="1"/>
    <col min="119" max="119" width="7.42578125" customWidth="1"/>
    <col min="120" max="120" width="25.28515625" customWidth="1"/>
  </cols>
  <sheetData>
    <row r="1" spans="1:120" ht="30.75" customHeight="1" x14ac:dyDescent="0.25">
      <c r="B1" s="163" t="s">
        <v>36</v>
      </c>
      <c r="C1" s="163"/>
      <c r="D1" s="163"/>
      <c r="E1" s="163"/>
      <c r="F1" s="163"/>
      <c r="G1" s="163"/>
      <c r="H1" s="163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165" t="s">
        <v>0</v>
      </c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5"/>
      <c r="BI1" s="165"/>
      <c r="BJ1" s="165"/>
      <c r="BK1" s="165"/>
      <c r="BL1" s="165"/>
      <c r="BM1" s="165"/>
      <c r="BN1" s="165"/>
      <c r="BO1" s="165"/>
      <c r="BP1" s="165"/>
      <c r="BQ1" s="165"/>
      <c r="BR1" s="165"/>
      <c r="BS1" s="165"/>
      <c r="BT1" s="165"/>
      <c r="BU1" s="165"/>
      <c r="BV1" s="165"/>
      <c r="BW1" s="165"/>
      <c r="BX1" s="165"/>
      <c r="BY1" s="165"/>
      <c r="BZ1" s="165"/>
      <c r="CA1" s="165"/>
      <c r="CB1" s="165"/>
      <c r="CC1" s="165"/>
      <c r="CD1" s="165"/>
      <c r="CE1" s="165"/>
      <c r="CF1" s="165"/>
      <c r="CG1" s="165"/>
      <c r="CH1" s="165"/>
      <c r="CI1" s="165"/>
      <c r="CJ1" s="165"/>
      <c r="CK1" s="165"/>
      <c r="CL1" s="90"/>
      <c r="CM1" s="90"/>
      <c r="CN1" s="90"/>
      <c r="CO1" s="90"/>
      <c r="CP1" s="90"/>
      <c r="CQ1" s="90"/>
      <c r="CR1" s="90"/>
      <c r="CS1" s="90"/>
      <c r="CT1" s="164" t="s">
        <v>37</v>
      </c>
      <c r="CU1" s="164"/>
      <c r="CV1" s="164"/>
      <c r="CW1" s="164"/>
      <c r="CX1" s="164"/>
      <c r="CY1" s="164"/>
      <c r="CZ1" s="164"/>
      <c r="DA1" s="164"/>
      <c r="DB1" s="164"/>
      <c r="DC1" s="164"/>
      <c r="DD1" s="164"/>
      <c r="DE1" s="164"/>
      <c r="DF1" s="164"/>
      <c r="DG1" s="164"/>
      <c r="DH1" s="164"/>
      <c r="DI1" s="164"/>
      <c r="DJ1" s="164"/>
      <c r="DK1" s="164"/>
      <c r="DL1" s="164"/>
      <c r="DM1" s="164"/>
      <c r="DN1" s="164"/>
      <c r="DO1" s="6"/>
    </row>
    <row r="2" spans="1:120" ht="75" customHeight="1" x14ac:dyDescent="0.25">
      <c r="A2" s="1"/>
      <c r="B2" s="91" t="s">
        <v>27</v>
      </c>
      <c r="C2" s="92" t="s">
        <v>1</v>
      </c>
      <c r="D2" s="92" t="s">
        <v>5</v>
      </c>
      <c r="E2" s="92" t="s">
        <v>2</v>
      </c>
      <c r="F2" s="93" t="s">
        <v>4</v>
      </c>
      <c r="G2" s="92" t="s">
        <v>38</v>
      </c>
      <c r="H2" s="93" t="s">
        <v>3</v>
      </c>
      <c r="I2" s="93" t="s">
        <v>40</v>
      </c>
      <c r="J2" s="94">
        <v>1</v>
      </c>
      <c r="K2" s="94">
        <v>2</v>
      </c>
      <c r="L2" s="94">
        <v>3</v>
      </c>
      <c r="M2" s="94">
        <v>4</v>
      </c>
      <c r="N2" s="94">
        <v>5</v>
      </c>
      <c r="O2" s="94">
        <v>6</v>
      </c>
      <c r="P2" s="94">
        <v>7</v>
      </c>
      <c r="Q2" s="94">
        <v>8</v>
      </c>
      <c r="R2" s="94">
        <v>9</v>
      </c>
      <c r="S2" s="94">
        <v>10</v>
      </c>
      <c r="T2" s="94">
        <v>11</v>
      </c>
      <c r="U2" s="94">
        <v>12</v>
      </c>
      <c r="V2" s="94">
        <v>13</v>
      </c>
      <c r="W2" s="94">
        <v>14</v>
      </c>
      <c r="X2" s="94">
        <v>15</v>
      </c>
      <c r="Y2" s="94">
        <v>16</v>
      </c>
      <c r="Z2" s="94">
        <v>17</v>
      </c>
      <c r="AA2" s="94">
        <v>18</v>
      </c>
      <c r="AB2" s="94">
        <v>19</v>
      </c>
      <c r="AC2" s="7">
        <v>20</v>
      </c>
      <c r="AD2" s="7">
        <v>21</v>
      </c>
      <c r="AE2" s="7">
        <v>22</v>
      </c>
      <c r="AF2" s="7">
        <v>23</v>
      </c>
      <c r="AG2" s="7">
        <v>24</v>
      </c>
      <c r="AH2" s="7">
        <v>25</v>
      </c>
      <c r="AI2" s="7">
        <v>26</v>
      </c>
      <c r="AJ2" s="7">
        <v>27</v>
      </c>
      <c r="AK2" s="7">
        <v>28</v>
      </c>
      <c r="AL2" s="7">
        <v>29</v>
      </c>
      <c r="AM2" s="7">
        <v>30</v>
      </c>
      <c r="AN2" s="7">
        <v>31</v>
      </c>
      <c r="AO2" s="7">
        <v>32</v>
      </c>
      <c r="AP2" s="7">
        <v>33</v>
      </c>
      <c r="AQ2" s="7">
        <v>34</v>
      </c>
      <c r="AR2" s="7">
        <v>35</v>
      </c>
      <c r="AS2" s="7">
        <v>36</v>
      </c>
      <c r="AT2" s="7">
        <v>37</v>
      </c>
      <c r="AU2" s="7">
        <v>38</v>
      </c>
      <c r="AV2" s="7">
        <v>39</v>
      </c>
      <c r="AW2" s="7">
        <v>40</v>
      </c>
      <c r="AX2" s="7">
        <v>41</v>
      </c>
      <c r="AY2" s="7">
        <v>42</v>
      </c>
      <c r="AZ2" s="7">
        <v>43</v>
      </c>
      <c r="BA2" s="7">
        <v>44</v>
      </c>
      <c r="BB2" s="7">
        <v>45</v>
      </c>
      <c r="BC2" s="7">
        <v>46</v>
      </c>
      <c r="BD2" s="7">
        <v>47</v>
      </c>
      <c r="BE2" s="7">
        <v>48</v>
      </c>
      <c r="BF2" s="7">
        <v>49</v>
      </c>
      <c r="BG2" s="7">
        <v>50</v>
      </c>
      <c r="BH2" s="7">
        <v>51</v>
      </c>
      <c r="BI2" s="7">
        <v>52</v>
      </c>
      <c r="BJ2" s="7">
        <v>53</v>
      </c>
      <c r="BK2" s="100">
        <v>54</v>
      </c>
      <c r="BL2" s="7">
        <v>55</v>
      </c>
      <c r="BM2" s="7">
        <v>56</v>
      </c>
      <c r="BN2" s="7">
        <v>57</v>
      </c>
      <c r="BO2" s="7">
        <v>58</v>
      </c>
      <c r="BP2" s="7">
        <v>59</v>
      </c>
      <c r="BQ2" s="7">
        <v>60</v>
      </c>
      <c r="BR2" s="7">
        <v>61</v>
      </c>
      <c r="BS2" s="7">
        <v>62</v>
      </c>
      <c r="BT2" s="7">
        <v>63</v>
      </c>
      <c r="BU2" s="7">
        <v>64</v>
      </c>
      <c r="BV2" s="7">
        <v>65</v>
      </c>
      <c r="BW2" s="7">
        <v>66</v>
      </c>
      <c r="BX2" s="7">
        <v>67</v>
      </c>
      <c r="BY2" s="7">
        <v>68</v>
      </c>
      <c r="BZ2" s="7">
        <v>69</v>
      </c>
      <c r="CA2" s="7">
        <v>70</v>
      </c>
      <c r="CB2" s="7">
        <v>71</v>
      </c>
      <c r="CC2" s="7">
        <v>72</v>
      </c>
      <c r="CD2" s="7">
        <v>73</v>
      </c>
      <c r="CE2" s="7">
        <v>74</v>
      </c>
      <c r="CF2" s="7">
        <v>75</v>
      </c>
      <c r="CG2" s="7">
        <v>76</v>
      </c>
      <c r="CH2" s="7">
        <v>77</v>
      </c>
      <c r="CI2" s="7">
        <v>78</v>
      </c>
      <c r="CJ2" s="7">
        <v>79</v>
      </c>
      <c r="CK2" s="7">
        <v>80</v>
      </c>
      <c r="CL2" s="7">
        <v>81</v>
      </c>
      <c r="CM2" s="7">
        <v>82</v>
      </c>
      <c r="CN2" s="7">
        <v>83</v>
      </c>
      <c r="CO2" s="7">
        <v>84</v>
      </c>
      <c r="CP2" s="7">
        <v>85</v>
      </c>
      <c r="CQ2" s="7">
        <v>86</v>
      </c>
      <c r="CR2" s="7">
        <v>87</v>
      </c>
      <c r="CS2" s="7">
        <v>88</v>
      </c>
      <c r="CT2" s="7">
        <v>89</v>
      </c>
      <c r="CU2" s="7">
        <v>90</v>
      </c>
      <c r="CV2" s="7">
        <v>91</v>
      </c>
      <c r="CW2" s="7">
        <v>92</v>
      </c>
      <c r="CX2" s="7">
        <v>93</v>
      </c>
      <c r="CY2" s="7">
        <v>94</v>
      </c>
      <c r="CZ2" s="7">
        <v>95</v>
      </c>
      <c r="DA2" s="7">
        <v>96</v>
      </c>
      <c r="DB2" s="7">
        <v>97</v>
      </c>
      <c r="DC2" s="7">
        <v>98</v>
      </c>
      <c r="DD2" s="7">
        <v>99</v>
      </c>
      <c r="DE2" s="7">
        <v>100</v>
      </c>
      <c r="DF2" s="7">
        <v>101</v>
      </c>
      <c r="DG2" s="7">
        <v>102</v>
      </c>
      <c r="DH2" s="7">
        <v>103</v>
      </c>
      <c r="DI2" s="7">
        <v>104</v>
      </c>
      <c r="DJ2" s="7">
        <v>105</v>
      </c>
      <c r="DK2" s="7">
        <v>106</v>
      </c>
      <c r="DL2" s="7">
        <v>107</v>
      </c>
      <c r="DM2" s="7">
        <v>108</v>
      </c>
      <c r="DN2" s="7">
        <v>109</v>
      </c>
      <c r="DO2" s="8" t="s">
        <v>2</v>
      </c>
    </row>
    <row r="3" spans="1:120" s="3" customFormat="1" ht="14.25" customHeight="1" x14ac:dyDescent="0.3">
      <c r="A3" s="1"/>
      <c r="B3" s="107" t="s">
        <v>18</v>
      </c>
      <c r="C3" s="96"/>
      <c r="D3" s="96"/>
      <c r="E3" s="96"/>
      <c r="F3" s="97"/>
      <c r="G3" s="96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33"/>
      <c r="CF3" s="33"/>
      <c r="CG3" s="33"/>
      <c r="CH3" s="33"/>
      <c r="CI3" s="33"/>
      <c r="CJ3" s="33"/>
      <c r="CK3" s="33"/>
      <c r="CL3" s="33"/>
      <c r="CM3" s="33"/>
      <c r="CN3" s="33"/>
      <c r="CO3" s="33"/>
      <c r="CP3" s="33"/>
      <c r="CQ3" s="33"/>
      <c r="CR3" s="33"/>
      <c r="CS3" s="33"/>
      <c r="CT3" s="33"/>
      <c r="CU3" s="33"/>
      <c r="CV3" s="33"/>
      <c r="CW3" s="33"/>
      <c r="CX3" s="33"/>
      <c r="CY3" s="33"/>
      <c r="CZ3" s="33"/>
      <c r="DA3" s="33"/>
      <c r="DB3" s="33"/>
      <c r="DC3" s="33"/>
      <c r="DD3" s="33"/>
      <c r="DE3" s="33"/>
      <c r="DF3" s="33"/>
      <c r="DG3" s="33"/>
      <c r="DH3" s="33"/>
      <c r="DI3" s="33"/>
      <c r="DJ3" s="33"/>
      <c r="DK3" s="33"/>
      <c r="DL3" s="33"/>
      <c r="DM3" s="33"/>
      <c r="DN3" s="33"/>
      <c r="DO3" s="99"/>
    </row>
    <row r="4" spans="1:120" ht="15" customHeight="1" x14ac:dyDescent="0.25">
      <c r="A4" s="144">
        <v>1</v>
      </c>
      <c r="B4" s="122" t="s">
        <v>7</v>
      </c>
      <c r="C4" s="149">
        <v>5</v>
      </c>
      <c r="D4" s="128">
        <v>106</v>
      </c>
      <c r="E4" s="128">
        <v>125</v>
      </c>
      <c r="F4" s="131">
        <v>96</v>
      </c>
      <c r="G4" s="131">
        <v>19</v>
      </c>
      <c r="H4" s="131">
        <v>10</v>
      </c>
      <c r="I4" s="102" t="s">
        <v>42</v>
      </c>
      <c r="J4" s="9">
        <v>2</v>
      </c>
      <c r="K4" s="9">
        <v>2</v>
      </c>
      <c r="L4" s="9">
        <v>2</v>
      </c>
      <c r="M4" s="9">
        <v>2</v>
      </c>
      <c r="N4" s="9">
        <v>2</v>
      </c>
      <c r="O4" s="9">
        <v>2</v>
      </c>
      <c r="P4" s="9">
        <v>2</v>
      </c>
      <c r="Q4" s="9">
        <v>2</v>
      </c>
      <c r="R4" s="9">
        <v>2</v>
      </c>
      <c r="S4" s="9">
        <v>2</v>
      </c>
      <c r="T4" s="9">
        <v>2</v>
      </c>
      <c r="U4" s="9">
        <v>2</v>
      </c>
      <c r="V4" s="9">
        <v>2</v>
      </c>
      <c r="W4" s="9">
        <v>2</v>
      </c>
      <c r="X4" s="9">
        <v>2</v>
      </c>
      <c r="Y4" s="9">
        <v>2</v>
      </c>
      <c r="Z4" s="9">
        <v>2</v>
      </c>
      <c r="AA4" s="9">
        <v>2</v>
      </c>
      <c r="AB4" s="9">
        <v>2</v>
      </c>
      <c r="AC4" s="9">
        <v>2</v>
      </c>
      <c r="AD4" s="9">
        <v>2</v>
      </c>
      <c r="AE4" s="9">
        <v>2</v>
      </c>
      <c r="AF4" s="9">
        <v>2</v>
      </c>
      <c r="AG4" s="9">
        <v>2</v>
      </c>
      <c r="AH4" s="9">
        <v>2</v>
      </c>
      <c r="AI4" s="9">
        <v>2</v>
      </c>
      <c r="AJ4" s="9">
        <v>2</v>
      </c>
      <c r="AK4" s="9">
        <v>2</v>
      </c>
      <c r="AL4" s="9">
        <v>2</v>
      </c>
      <c r="AM4" s="9">
        <v>2</v>
      </c>
      <c r="AN4" s="9">
        <v>2</v>
      </c>
      <c r="AO4" s="9">
        <v>2</v>
      </c>
      <c r="AP4" s="9">
        <v>2</v>
      </c>
      <c r="AQ4" s="9">
        <v>2</v>
      </c>
      <c r="AR4" s="9">
        <v>2</v>
      </c>
      <c r="AS4" s="9">
        <v>2</v>
      </c>
      <c r="AT4" s="9">
        <v>2</v>
      </c>
      <c r="AU4" s="9">
        <v>2</v>
      </c>
      <c r="AV4" s="9">
        <v>2</v>
      </c>
      <c r="AW4" s="34"/>
      <c r="AX4" s="34"/>
      <c r="AY4" s="34"/>
      <c r="AZ4" s="34"/>
      <c r="BA4" s="9">
        <v>2</v>
      </c>
      <c r="BB4" s="9">
        <v>2</v>
      </c>
      <c r="BC4" s="9">
        <v>2</v>
      </c>
      <c r="BD4" s="9">
        <v>2</v>
      </c>
      <c r="BE4" s="9">
        <v>2</v>
      </c>
      <c r="BF4" s="9">
        <v>2</v>
      </c>
      <c r="BG4" s="9">
        <v>2</v>
      </c>
      <c r="BH4" s="9">
        <v>2</v>
      </c>
      <c r="BI4" s="9">
        <v>2</v>
      </c>
      <c r="BJ4" s="34"/>
      <c r="BK4" s="141" t="s">
        <v>39</v>
      </c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2"/>
      <c r="DI4" s="12"/>
      <c r="DJ4" s="12"/>
      <c r="DK4" s="12"/>
      <c r="DL4" s="12"/>
      <c r="DM4" s="12"/>
      <c r="DN4" s="12"/>
      <c r="DO4" s="13">
        <f t="shared" ref="DO4:DO15" si="0">SUM(J4:DN4)</f>
        <v>96</v>
      </c>
      <c r="DP4" s="69"/>
    </row>
    <row r="5" spans="1:120" ht="15" customHeight="1" x14ac:dyDescent="0.25">
      <c r="A5" s="148"/>
      <c r="B5" s="123"/>
      <c r="C5" s="150"/>
      <c r="D5" s="129"/>
      <c r="E5" s="129"/>
      <c r="F5" s="131"/>
      <c r="G5" s="131"/>
      <c r="H5" s="131"/>
      <c r="I5" s="102" t="s">
        <v>41</v>
      </c>
      <c r="J5" s="9" t="s">
        <v>32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27">
        <v>2</v>
      </c>
      <c r="AX5" s="27">
        <v>2</v>
      </c>
      <c r="AY5" s="27">
        <v>2</v>
      </c>
      <c r="AZ5" s="27">
        <v>2</v>
      </c>
      <c r="BA5" s="9"/>
      <c r="BB5" s="9"/>
      <c r="BC5" s="9"/>
      <c r="BD5" s="9"/>
      <c r="BE5" s="9"/>
      <c r="BF5" s="9"/>
      <c r="BG5" s="9"/>
      <c r="BH5" s="9"/>
      <c r="BI5" s="9"/>
      <c r="BJ5" s="27">
        <v>2</v>
      </c>
      <c r="BK5" s="142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2"/>
      <c r="DI5" s="12"/>
      <c r="DJ5" s="12"/>
      <c r="DK5" s="12"/>
      <c r="DL5" s="12"/>
      <c r="DM5" s="12"/>
      <c r="DN5" s="12"/>
      <c r="DO5" s="13">
        <f t="shared" si="0"/>
        <v>10</v>
      </c>
      <c r="DP5" s="69"/>
    </row>
    <row r="6" spans="1:120" ht="15" customHeight="1" x14ac:dyDescent="0.25">
      <c r="A6" s="145"/>
      <c r="B6" s="124"/>
      <c r="C6" s="151"/>
      <c r="D6" s="130"/>
      <c r="E6" s="130"/>
      <c r="F6" s="131"/>
      <c r="G6" s="131"/>
      <c r="H6" s="131"/>
      <c r="I6" s="102" t="s">
        <v>43</v>
      </c>
      <c r="J6" s="14"/>
      <c r="K6" s="14"/>
      <c r="L6" s="14"/>
      <c r="M6" s="14"/>
      <c r="N6" s="14"/>
      <c r="O6" s="14"/>
      <c r="P6" s="14">
        <v>1</v>
      </c>
      <c r="Q6" s="14">
        <v>1</v>
      </c>
      <c r="R6" s="14">
        <v>1</v>
      </c>
      <c r="S6" s="14"/>
      <c r="T6" s="14"/>
      <c r="U6" s="14"/>
      <c r="V6" s="14">
        <v>1</v>
      </c>
      <c r="W6" s="14">
        <v>1</v>
      </c>
      <c r="X6" s="14">
        <v>1</v>
      </c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>
        <v>1</v>
      </c>
      <c r="AJ6" s="14">
        <v>1</v>
      </c>
      <c r="AK6" s="14">
        <v>1</v>
      </c>
      <c r="AL6" s="14">
        <v>1</v>
      </c>
      <c r="AM6" s="14">
        <v>1</v>
      </c>
      <c r="AN6" s="14"/>
      <c r="AO6" s="14"/>
      <c r="AP6" s="14"/>
      <c r="AQ6" s="14"/>
      <c r="AR6" s="14"/>
      <c r="AS6" s="29">
        <v>1</v>
      </c>
      <c r="AT6" s="29">
        <v>1</v>
      </c>
      <c r="AU6" s="29">
        <v>1</v>
      </c>
      <c r="AV6" s="14">
        <v>1</v>
      </c>
      <c r="AW6" s="14">
        <v>1</v>
      </c>
      <c r="AX6" s="14"/>
      <c r="AY6" s="14"/>
      <c r="AZ6" s="14"/>
      <c r="BA6" s="14"/>
      <c r="BB6" s="14"/>
      <c r="BC6" s="14"/>
      <c r="BD6" s="14"/>
      <c r="BE6" s="14"/>
      <c r="BF6" s="14"/>
      <c r="BG6" s="14">
        <v>1</v>
      </c>
      <c r="BH6" s="14">
        <v>1</v>
      </c>
      <c r="BI6" s="14">
        <v>1</v>
      </c>
      <c r="BJ6" s="14"/>
      <c r="BK6" s="142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6"/>
      <c r="DI6" s="16"/>
      <c r="DJ6" s="16"/>
      <c r="DK6" s="16"/>
      <c r="DL6" s="16"/>
      <c r="DM6" s="16"/>
      <c r="DN6" s="16"/>
      <c r="DO6" s="13">
        <f t="shared" si="0"/>
        <v>19</v>
      </c>
      <c r="DP6" s="69"/>
    </row>
    <row r="7" spans="1:120" ht="12.75" customHeight="1" x14ac:dyDescent="0.25">
      <c r="A7" s="144">
        <v>2</v>
      </c>
      <c r="B7" s="125" t="s">
        <v>6</v>
      </c>
      <c r="C7" s="138">
        <v>3</v>
      </c>
      <c r="D7" s="132">
        <v>67</v>
      </c>
      <c r="E7" s="132">
        <v>75</v>
      </c>
      <c r="F7" s="131">
        <v>60</v>
      </c>
      <c r="G7" s="131">
        <v>8</v>
      </c>
      <c r="H7" s="131">
        <v>7</v>
      </c>
      <c r="I7" s="102" t="s">
        <v>42</v>
      </c>
      <c r="J7" s="9">
        <v>2</v>
      </c>
      <c r="K7" s="9">
        <v>2</v>
      </c>
      <c r="L7" s="9">
        <v>2</v>
      </c>
      <c r="M7" s="9">
        <v>2</v>
      </c>
      <c r="N7" s="9">
        <v>2</v>
      </c>
      <c r="O7" s="9">
        <v>2</v>
      </c>
      <c r="P7" s="9">
        <v>2</v>
      </c>
      <c r="Q7" s="9">
        <v>2</v>
      </c>
      <c r="R7" s="9">
        <v>2</v>
      </c>
      <c r="S7" s="34"/>
      <c r="T7" s="9">
        <v>2</v>
      </c>
      <c r="U7" s="9">
        <v>2</v>
      </c>
      <c r="V7" s="9">
        <v>2</v>
      </c>
      <c r="W7" s="9">
        <v>2</v>
      </c>
      <c r="X7" s="9">
        <v>2</v>
      </c>
      <c r="Y7" s="9">
        <v>2</v>
      </c>
      <c r="Z7" s="9">
        <v>2</v>
      </c>
      <c r="AA7" s="34"/>
      <c r="AB7" s="9">
        <v>2</v>
      </c>
      <c r="AC7" s="9">
        <v>2</v>
      </c>
      <c r="AD7" s="9">
        <v>2</v>
      </c>
      <c r="AE7" s="9">
        <v>2</v>
      </c>
      <c r="AF7" s="9">
        <v>2</v>
      </c>
      <c r="AG7" s="34">
        <v>1</v>
      </c>
      <c r="AH7" s="9">
        <v>2</v>
      </c>
      <c r="AI7" s="9">
        <v>2</v>
      </c>
      <c r="AJ7" s="9">
        <v>2</v>
      </c>
      <c r="AK7" s="34">
        <v>1</v>
      </c>
      <c r="AL7" s="9">
        <v>2</v>
      </c>
      <c r="AM7" s="9">
        <v>2</v>
      </c>
      <c r="AN7" s="9">
        <v>2</v>
      </c>
      <c r="AO7" s="9">
        <v>2</v>
      </c>
      <c r="AP7" s="9">
        <v>2</v>
      </c>
      <c r="AQ7" s="34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142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7"/>
      <c r="DH7" s="17"/>
      <c r="DI7" s="17"/>
      <c r="DJ7" s="17"/>
      <c r="DK7" s="17"/>
      <c r="DL7" s="17"/>
      <c r="DM7" s="17"/>
      <c r="DN7" s="17"/>
      <c r="DO7" s="13">
        <f t="shared" si="0"/>
        <v>60</v>
      </c>
    </row>
    <row r="8" spans="1:120" ht="15" customHeight="1" x14ac:dyDescent="0.25">
      <c r="A8" s="148"/>
      <c r="B8" s="126"/>
      <c r="C8" s="139"/>
      <c r="D8" s="133"/>
      <c r="E8" s="133"/>
      <c r="F8" s="131"/>
      <c r="G8" s="131"/>
      <c r="H8" s="131"/>
      <c r="I8" s="102" t="s">
        <v>41</v>
      </c>
      <c r="J8" s="9"/>
      <c r="K8" s="9"/>
      <c r="L8" s="9"/>
      <c r="M8" s="9"/>
      <c r="N8" s="9"/>
      <c r="O8" s="9"/>
      <c r="P8" s="9"/>
      <c r="Q8" s="9"/>
      <c r="R8" s="9"/>
      <c r="S8" s="27">
        <v>2</v>
      </c>
      <c r="T8" s="9"/>
      <c r="U8" s="9"/>
      <c r="V8" s="9"/>
      <c r="W8" s="9"/>
      <c r="X8" s="9"/>
      <c r="Y8" s="9"/>
      <c r="Z8" s="9"/>
      <c r="AA8" s="27">
        <v>2</v>
      </c>
      <c r="AB8" s="9"/>
      <c r="AC8" s="9"/>
      <c r="AD8" s="9"/>
      <c r="AE8" s="9"/>
      <c r="AF8" s="9"/>
      <c r="AG8" s="27">
        <v>1</v>
      </c>
      <c r="AH8" s="9"/>
      <c r="AI8" s="9"/>
      <c r="AJ8" s="9"/>
      <c r="AK8" s="27">
        <v>1</v>
      </c>
      <c r="AL8" s="9"/>
      <c r="AM8" s="9"/>
      <c r="AN8" s="9"/>
      <c r="AO8" s="9"/>
      <c r="AP8" s="9"/>
      <c r="AQ8" s="27">
        <v>1</v>
      </c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142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7"/>
      <c r="DH8" s="17"/>
      <c r="DI8" s="17"/>
      <c r="DJ8" s="17"/>
      <c r="DK8" s="17"/>
      <c r="DL8" s="17"/>
      <c r="DM8" s="17"/>
      <c r="DN8" s="17"/>
      <c r="DO8" s="13">
        <f t="shared" si="0"/>
        <v>7</v>
      </c>
    </row>
    <row r="9" spans="1:120" ht="15" customHeight="1" x14ac:dyDescent="0.25">
      <c r="A9" s="145"/>
      <c r="B9" s="127"/>
      <c r="C9" s="140"/>
      <c r="D9" s="134"/>
      <c r="E9" s="134"/>
      <c r="F9" s="131"/>
      <c r="G9" s="131"/>
      <c r="H9" s="131"/>
      <c r="I9" s="102" t="s">
        <v>43</v>
      </c>
      <c r="J9" s="14"/>
      <c r="K9" s="14"/>
      <c r="L9" s="14"/>
      <c r="M9" s="14"/>
      <c r="N9" s="14"/>
      <c r="O9" s="14"/>
      <c r="P9" s="14"/>
      <c r="Q9" s="14">
        <v>1</v>
      </c>
      <c r="R9" s="14">
        <v>1</v>
      </c>
      <c r="S9" s="14"/>
      <c r="T9" s="14"/>
      <c r="U9" s="14"/>
      <c r="V9" s="14"/>
      <c r="W9" s="14"/>
      <c r="X9" s="14"/>
      <c r="Y9" s="14"/>
      <c r="Z9" s="14">
        <v>1</v>
      </c>
      <c r="AA9" s="14"/>
      <c r="AB9" s="14"/>
      <c r="AC9" s="14"/>
      <c r="AD9" s="14"/>
      <c r="AE9" s="14">
        <v>1</v>
      </c>
      <c r="AF9" s="14"/>
      <c r="AG9" s="14"/>
      <c r="AH9" s="14"/>
      <c r="AI9" s="14"/>
      <c r="AJ9" s="14">
        <v>1</v>
      </c>
      <c r="AK9" s="14">
        <v>1</v>
      </c>
      <c r="AL9" s="14"/>
      <c r="AM9" s="14"/>
      <c r="AN9" s="14"/>
      <c r="AO9" s="14">
        <v>1</v>
      </c>
      <c r="AP9" s="14">
        <v>1</v>
      </c>
      <c r="AQ9" s="14"/>
      <c r="AR9" s="14"/>
      <c r="AS9" s="58"/>
      <c r="AT9" s="58"/>
      <c r="AU9" s="58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2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8"/>
      <c r="DH9" s="18"/>
      <c r="DI9" s="18"/>
      <c r="DJ9" s="18"/>
      <c r="DK9" s="18"/>
      <c r="DL9" s="18"/>
      <c r="DM9" s="18"/>
      <c r="DN9" s="18"/>
      <c r="DO9" s="13">
        <f t="shared" si="0"/>
        <v>8</v>
      </c>
    </row>
    <row r="10" spans="1:120" ht="15" customHeight="1" x14ac:dyDescent="0.25">
      <c r="A10" s="144">
        <v>3</v>
      </c>
      <c r="B10" s="125" t="s">
        <v>20</v>
      </c>
      <c r="C10" s="138">
        <v>14</v>
      </c>
      <c r="D10" s="132">
        <v>350</v>
      </c>
      <c r="E10" s="132">
        <v>350</v>
      </c>
      <c r="F10" s="131"/>
      <c r="G10" s="131">
        <v>0</v>
      </c>
      <c r="H10" s="131"/>
      <c r="I10" s="106"/>
      <c r="J10" s="9">
        <v>3</v>
      </c>
      <c r="K10" s="9">
        <v>3</v>
      </c>
      <c r="L10" s="9">
        <v>3</v>
      </c>
      <c r="M10" s="9">
        <v>3</v>
      </c>
      <c r="N10" s="9">
        <v>3</v>
      </c>
      <c r="O10" s="9">
        <v>3</v>
      </c>
      <c r="P10" s="9">
        <v>3</v>
      </c>
      <c r="Q10" s="9">
        <v>3</v>
      </c>
      <c r="R10" s="9">
        <v>3</v>
      </c>
      <c r="S10" s="9">
        <v>3</v>
      </c>
      <c r="T10" s="9">
        <v>3</v>
      </c>
      <c r="U10" s="9">
        <v>3</v>
      </c>
      <c r="V10" s="9">
        <v>3</v>
      </c>
      <c r="W10" s="9">
        <v>3</v>
      </c>
      <c r="X10" s="9">
        <v>3</v>
      </c>
      <c r="Y10" s="9">
        <v>3</v>
      </c>
      <c r="Z10" s="9">
        <v>3</v>
      </c>
      <c r="AA10" s="9">
        <v>3</v>
      </c>
      <c r="AB10" s="9">
        <v>3</v>
      </c>
      <c r="AC10" s="9">
        <v>3</v>
      </c>
      <c r="AD10" s="9">
        <v>3</v>
      </c>
      <c r="AE10" s="9">
        <v>3</v>
      </c>
      <c r="AF10" s="9">
        <v>3</v>
      </c>
      <c r="AG10" s="9">
        <v>3</v>
      </c>
      <c r="AH10" s="9">
        <v>3</v>
      </c>
      <c r="AI10" s="9">
        <v>3</v>
      </c>
      <c r="AJ10" s="9">
        <v>3</v>
      </c>
      <c r="AK10" s="9">
        <v>3</v>
      </c>
      <c r="AL10" s="9">
        <v>3</v>
      </c>
      <c r="AM10" s="9">
        <v>3</v>
      </c>
      <c r="AN10" s="9">
        <v>3</v>
      </c>
      <c r="AO10" s="9">
        <v>3</v>
      </c>
      <c r="AP10" s="9">
        <v>3</v>
      </c>
      <c r="AQ10" s="9">
        <v>3</v>
      </c>
      <c r="AR10" s="9">
        <v>3</v>
      </c>
      <c r="AS10" s="9">
        <v>3</v>
      </c>
      <c r="AT10" s="9">
        <v>3</v>
      </c>
      <c r="AU10" s="9">
        <v>3</v>
      </c>
      <c r="AV10" s="9">
        <v>3</v>
      </c>
      <c r="AW10" s="9">
        <v>3</v>
      </c>
      <c r="AX10" s="9">
        <v>3</v>
      </c>
      <c r="AY10" s="9">
        <v>3</v>
      </c>
      <c r="AZ10" s="9">
        <v>3</v>
      </c>
      <c r="BA10" s="9">
        <v>3</v>
      </c>
      <c r="BB10" s="9">
        <v>3</v>
      </c>
      <c r="BC10" s="9">
        <v>3</v>
      </c>
      <c r="BD10" s="9">
        <v>3</v>
      </c>
      <c r="BE10" s="9">
        <v>3</v>
      </c>
      <c r="BF10" s="9">
        <v>3</v>
      </c>
      <c r="BG10" s="9">
        <v>3</v>
      </c>
      <c r="BH10" s="9">
        <v>3</v>
      </c>
      <c r="BI10" s="9">
        <v>3</v>
      </c>
      <c r="BJ10" s="9">
        <v>3</v>
      </c>
      <c r="BK10" s="142"/>
      <c r="BL10" s="9">
        <v>4</v>
      </c>
      <c r="BM10" s="9">
        <v>4</v>
      </c>
      <c r="BN10" s="9">
        <v>4</v>
      </c>
      <c r="BO10" s="9">
        <v>4</v>
      </c>
      <c r="BP10" s="9">
        <v>4</v>
      </c>
      <c r="BQ10" s="9">
        <v>4</v>
      </c>
      <c r="BR10" s="9">
        <v>4</v>
      </c>
      <c r="BS10" s="9">
        <v>4</v>
      </c>
      <c r="BT10" s="9">
        <v>4</v>
      </c>
      <c r="BU10" s="9">
        <v>4</v>
      </c>
      <c r="BV10" s="9">
        <v>4</v>
      </c>
      <c r="BW10" s="9">
        <v>4</v>
      </c>
      <c r="BX10" s="9">
        <v>4</v>
      </c>
      <c r="BY10" s="9">
        <v>4</v>
      </c>
      <c r="BZ10" s="9">
        <v>4</v>
      </c>
      <c r="CA10" s="9">
        <v>4</v>
      </c>
      <c r="CB10" s="9">
        <v>4</v>
      </c>
      <c r="CC10" s="9">
        <v>4</v>
      </c>
      <c r="CD10" s="9">
        <v>4</v>
      </c>
      <c r="CE10" s="9">
        <v>4</v>
      </c>
      <c r="CF10" s="9">
        <v>4</v>
      </c>
      <c r="CG10" s="9">
        <v>4</v>
      </c>
      <c r="CH10" s="9">
        <v>4</v>
      </c>
      <c r="CI10" s="9">
        <v>4</v>
      </c>
      <c r="CJ10" s="9">
        <v>4</v>
      </c>
      <c r="CK10" s="9">
        <v>4</v>
      </c>
      <c r="CL10" s="9">
        <v>4</v>
      </c>
      <c r="CM10" s="9">
        <v>4</v>
      </c>
      <c r="CN10" s="9">
        <v>4</v>
      </c>
      <c r="CO10" s="9">
        <v>4</v>
      </c>
      <c r="CP10" s="9">
        <v>4</v>
      </c>
      <c r="CQ10" s="9">
        <v>4</v>
      </c>
      <c r="CR10" s="9">
        <v>4</v>
      </c>
      <c r="CS10" s="9">
        <v>4</v>
      </c>
      <c r="CT10" s="9">
        <v>3</v>
      </c>
      <c r="CU10" s="9">
        <v>3</v>
      </c>
      <c r="CV10" s="9">
        <v>3</v>
      </c>
      <c r="CW10" s="9">
        <v>3</v>
      </c>
      <c r="CX10" s="9">
        <v>3</v>
      </c>
      <c r="CY10" s="9">
        <v>3</v>
      </c>
      <c r="CZ10" s="9">
        <v>3</v>
      </c>
      <c r="DA10" s="9">
        <v>3</v>
      </c>
      <c r="DB10" s="9">
        <v>3</v>
      </c>
      <c r="DC10" s="9">
        <v>3</v>
      </c>
      <c r="DD10" s="9">
        <v>3</v>
      </c>
      <c r="DE10" s="9">
        <v>3</v>
      </c>
      <c r="DF10" s="9">
        <v>3</v>
      </c>
      <c r="DG10" s="9">
        <v>3</v>
      </c>
      <c r="DH10" s="9">
        <v>3</v>
      </c>
      <c r="DI10" s="9">
        <v>5</v>
      </c>
      <c r="DJ10" s="10">
        <v>5</v>
      </c>
      <c r="DK10" s="11"/>
      <c r="DL10" s="11"/>
      <c r="DM10" s="11"/>
      <c r="DN10" s="11"/>
      <c r="DO10" s="13">
        <f t="shared" si="0"/>
        <v>350</v>
      </c>
    </row>
    <row r="11" spans="1:120" ht="15" customHeight="1" x14ac:dyDescent="0.25">
      <c r="A11" s="145"/>
      <c r="B11" s="127"/>
      <c r="C11" s="140"/>
      <c r="D11" s="134"/>
      <c r="E11" s="134"/>
      <c r="F11" s="131"/>
      <c r="G11" s="131"/>
      <c r="H11" s="131"/>
      <c r="I11" s="106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58"/>
      <c r="AT11" s="58"/>
      <c r="AU11" s="58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2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5"/>
      <c r="DL11" s="16"/>
      <c r="DM11" s="16"/>
      <c r="DN11" s="15"/>
      <c r="DO11" s="13">
        <f t="shared" si="0"/>
        <v>0</v>
      </c>
    </row>
    <row r="12" spans="1:120" ht="15" customHeight="1" x14ac:dyDescent="0.25">
      <c r="A12" s="144">
        <v>4</v>
      </c>
      <c r="B12" s="125" t="s">
        <v>21</v>
      </c>
      <c r="C12" s="138">
        <v>14</v>
      </c>
      <c r="D12" s="155">
        <v>350</v>
      </c>
      <c r="E12" s="132">
        <v>350</v>
      </c>
      <c r="F12" s="131"/>
      <c r="G12" s="131">
        <v>0</v>
      </c>
      <c r="H12" s="131"/>
      <c r="I12" s="106"/>
      <c r="J12" s="9">
        <v>4</v>
      </c>
      <c r="K12" s="9">
        <v>4</v>
      </c>
      <c r="L12" s="9">
        <v>4</v>
      </c>
      <c r="M12" s="9">
        <v>4</v>
      </c>
      <c r="N12" s="9">
        <v>4</v>
      </c>
      <c r="O12" s="9">
        <v>4</v>
      </c>
      <c r="P12" s="9">
        <v>4</v>
      </c>
      <c r="Q12" s="9">
        <v>4</v>
      </c>
      <c r="R12" s="9">
        <v>4</v>
      </c>
      <c r="S12" s="9">
        <v>4</v>
      </c>
      <c r="T12" s="9">
        <v>4</v>
      </c>
      <c r="U12" s="9">
        <v>4</v>
      </c>
      <c r="V12" s="9">
        <v>4</v>
      </c>
      <c r="W12" s="9">
        <v>4</v>
      </c>
      <c r="X12" s="9">
        <v>4</v>
      </c>
      <c r="Y12" s="9">
        <v>4</v>
      </c>
      <c r="Z12" s="9">
        <v>4</v>
      </c>
      <c r="AA12" s="9">
        <v>4</v>
      </c>
      <c r="AB12" s="9">
        <v>4</v>
      </c>
      <c r="AC12" s="9">
        <v>4</v>
      </c>
      <c r="AD12" s="9">
        <v>4</v>
      </c>
      <c r="AE12" s="9">
        <v>4</v>
      </c>
      <c r="AF12" s="9">
        <v>4</v>
      </c>
      <c r="AG12" s="9">
        <v>4</v>
      </c>
      <c r="AH12" s="9">
        <v>4</v>
      </c>
      <c r="AI12" s="9">
        <v>4</v>
      </c>
      <c r="AJ12" s="9">
        <v>4</v>
      </c>
      <c r="AK12" s="9">
        <v>4</v>
      </c>
      <c r="AL12" s="9">
        <v>4</v>
      </c>
      <c r="AM12" s="9">
        <v>4</v>
      </c>
      <c r="AN12" s="9">
        <v>4</v>
      </c>
      <c r="AO12" s="9">
        <v>4</v>
      </c>
      <c r="AP12" s="9">
        <v>4</v>
      </c>
      <c r="AQ12" s="9">
        <v>4</v>
      </c>
      <c r="AR12" s="9">
        <v>4</v>
      </c>
      <c r="AS12" s="9">
        <v>4</v>
      </c>
      <c r="AT12" s="9">
        <v>4</v>
      </c>
      <c r="AU12" s="9">
        <v>4</v>
      </c>
      <c r="AV12" s="9">
        <v>4</v>
      </c>
      <c r="AW12" s="9">
        <v>4</v>
      </c>
      <c r="AX12" s="9">
        <v>4</v>
      </c>
      <c r="AY12" s="9">
        <v>4</v>
      </c>
      <c r="AZ12" s="9">
        <v>4</v>
      </c>
      <c r="BA12" s="9">
        <v>3</v>
      </c>
      <c r="BB12" s="9">
        <v>3</v>
      </c>
      <c r="BC12" s="9">
        <v>3</v>
      </c>
      <c r="BD12" s="9">
        <v>3</v>
      </c>
      <c r="BE12" s="9">
        <v>3</v>
      </c>
      <c r="BF12" s="9">
        <v>3</v>
      </c>
      <c r="BG12" s="9">
        <v>3</v>
      </c>
      <c r="BH12" s="9">
        <v>3</v>
      </c>
      <c r="BI12" s="9">
        <v>3</v>
      </c>
      <c r="BJ12" s="9">
        <v>3</v>
      </c>
      <c r="BK12" s="142"/>
      <c r="BL12" s="9">
        <v>3</v>
      </c>
      <c r="BM12" s="9">
        <v>3</v>
      </c>
      <c r="BN12" s="9">
        <v>3</v>
      </c>
      <c r="BO12" s="9">
        <v>3</v>
      </c>
      <c r="BP12" s="9">
        <v>3</v>
      </c>
      <c r="BQ12" s="9">
        <v>3</v>
      </c>
      <c r="BR12" s="9">
        <v>3</v>
      </c>
      <c r="BS12" s="9">
        <v>3</v>
      </c>
      <c r="BT12" s="9">
        <v>3</v>
      </c>
      <c r="BU12" s="9">
        <v>3</v>
      </c>
      <c r="BV12" s="9">
        <v>3</v>
      </c>
      <c r="BW12" s="9">
        <v>3</v>
      </c>
      <c r="BX12" s="9">
        <v>3</v>
      </c>
      <c r="BY12" s="9">
        <v>3</v>
      </c>
      <c r="BZ12" s="9">
        <v>3</v>
      </c>
      <c r="CA12" s="9">
        <v>3</v>
      </c>
      <c r="CB12" s="9">
        <v>3</v>
      </c>
      <c r="CC12" s="9">
        <v>3</v>
      </c>
      <c r="CD12" s="9">
        <v>3</v>
      </c>
      <c r="CE12" s="9">
        <v>3</v>
      </c>
      <c r="CF12" s="9">
        <v>3</v>
      </c>
      <c r="CG12" s="9">
        <v>3</v>
      </c>
      <c r="CH12" s="9">
        <v>3</v>
      </c>
      <c r="CI12" s="9">
        <v>3</v>
      </c>
      <c r="CJ12" s="9">
        <v>3</v>
      </c>
      <c r="CK12" s="9">
        <v>3</v>
      </c>
      <c r="CL12" s="9">
        <v>3</v>
      </c>
      <c r="CM12" s="9">
        <v>3</v>
      </c>
      <c r="CN12" s="9">
        <v>3</v>
      </c>
      <c r="CO12" s="9">
        <v>3</v>
      </c>
      <c r="CP12" s="9">
        <v>3</v>
      </c>
      <c r="CQ12" s="9">
        <v>3</v>
      </c>
      <c r="CR12" s="9">
        <v>3</v>
      </c>
      <c r="CS12" s="9">
        <v>3</v>
      </c>
      <c r="CT12" s="9">
        <v>3</v>
      </c>
      <c r="CU12" s="9">
        <v>3</v>
      </c>
      <c r="CV12" s="9">
        <v>3</v>
      </c>
      <c r="CW12" s="9">
        <v>3</v>
      </c>
      <c r="CX12" s="9">
        <v>3</v>
      </c>
      <c r="CY12" s="9">
        <v>3</v>
      </c>
      <c r="CZ12" s="9">
        <v>3</v>
      </c>
      <c r="DA12" s="9">
        <v>3</v>
      </c>
      <c r="DB12" s="9">
        <v>3</v>
      </c>
      <c r="DC12" s="9">
        <v>3</v>
      </c>
      <c r="DD12" s="9">
        <v>3</v>
      </c>
      <c r="DE12" s="9">
        <v>3</v>
      </c>
      <c r="DF12" s="9">
        <v>3</v>
      </c>
      <c r="DG12" s="9">
        <v>3</v>
      </c>
      <c r="DH12" s="9">
        <v>3</v>
      </c>
      <c r="DI12" s="10">
        <v>1</v>
      </c>
      <c r="DJ12" s="9"/>
      <c r="DK12" s="9"/>
      <c r="DL12" s="9"/>
      <c r="DM12" s="9"/>
      <c r="DN12" s="9"/>
      <c r="DO12" s="13">
        <f t="shared" si="0"/>
        <v>350</v>
      </c>
    </row>
    <row r="13" spans="1:120" ht="15" customHeight="1" x14ac:dyDescent="0.25">
      <c r="A13" s="145"/>
      <c r="B13" s="127"/>
      <c r="C13" s="140"/>
      <c r="D13" s="156"/>
      <c r="E13" s="134"/>
      <c r="F13" s="131"/>
      <c r="G13" s="131"/>
      <c r="H13" s="131"/>
      <c r="I13" s="106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58"/>
      <c r="AT13" s="58"/>
      <c r="AU13" s="58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2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6"/>
      <c r="DL13" s="16"/>
      <c r="DM13" s="15"/>
      <c r="DN13" s="15"/>
      <c r="DO13" s="13">
        <f t="shared" si="0"/>
        <v>0</v>
      </c>
    </row>
    <row r="14" spans="1:120" ht="15" customHeight="1" x14ac:dyDescent="0.25">
      <c r="A14" s="144">
        <v>5</v>
      </c>
      <c r="B14" s="125" t="s">
        <v>24</v>
      </c>
      <c r="C14" s="158">
        <v>18</v>
      </c>
      <c r="D14" s="131">
        <v>450</v>
      </c>
      <c r="E14" s="131">
        <v>450</v>
      </c>
      <c r="F14" s="131"/>
      <c r="G14" s="131">
        <v>0</v>
      </c>
      <c r="H14" s="131"/>
      <c r="I14" s="116"/>
      <c r="J14" s="19">
        <v>5</v>
      </c>
      <c r="K14" s="19">
        <v>5</v>
      </c>
      <c r="L14" s="19">
        <v>5</v>
      </c>
      <c r="M14" s="19">
        <v>5</v>
      </c>
      <c r="N14" s="19">
        <v>5</v>
      </c>
      <c r="O14" s="19">
        <v>5</v>
      </c>
      <c r="P14" s="19">
        <v>5</v>
      </c>
      <c r="Q14" s="19">
        <v>5</v>
      </c>
      <c r="R14" s="19">
        <v>5</v>
      </c>
      <c r="S14" s="19">
        <v>5</v>
      </c>
      <c r="T14" s="19">
        <v>5</v>
      </c>
      <c r="U14" s="19">
        <v>5</v>
      </c>
      <c r="V14" s="19">
        <v>5</v>
      </c>
      <c r="W14" s="19">
        <v>5</v>
      </c>
      <c r="X14" s="19">
        <v>5</v>
      </c>
      <c r="Y14" s="19">
        <v>5</v>
      </c>
      <c r="Z14" s="19">
        <v>5</v>
      </c>
      <c r="AA14" s="19">
        <v>5</v>
      </c>
      <c r="AB14" s="19">
        <v>5</v>
      </c>
      <c r="AC14" s="19">
        <v>5</v>
      </c>
      <c r="AD14" s="19">
        <v>5</v>
      </c>
      <c r="AE14" s="19">
        <v>5</v>
      </c>
      <c r="AF14" s="19">
        <v>5</v>
      </c>
      <c r="AG14" s="19">
        <v>5</v>
      </c>
      <c r="AH14" s="19">
        <v>5</v>
      </c>
      <c r="AI14" s="19">
        <v>5</v>
      </c>
      <c r="AJ14" s="19">
        <v>5</v>
      </c>
      <c r="AK14" s="19">
        <v>5</v>
      </c>
      <c r="AL14" s="19">
        <v>5</v>
      </c>
      <c r="AM14" s="19">
        <v>5</v>
      </c>
      <c r="AN14" s="19">
        <v>5</v>
      </c>
      <c r="AO14" s="19">
        <v>5</v>
      </c>
      <c r="AP14" s="19">
        <v>5</v>
      </c>
      <c r="AQ14" s="19">
        <v>5</v>
      </c>
      <c r="AR14" s="19">
        <v>4</v>
      </c>
      <c r="AS14" s="19">
        <v>4</v>
      </c>
      <c r="AT14" s="19">
        <v>4</v>
      </c>
      <c r="AU14" s="19">
        <v>4</v>
      </c>
      <c r="AV14" s="19">
        <v>4</v>
      </c>
      <c r="AW14" s="19">
        <v>4</v>
      </c>
      <c r="AX14" s="19">
        <v>4</v>
      </c>
      <c r="AY14" s="19">
        <v>4</v>
      </c>
      <c r="AZ14" s="19">
        <v>4</v>
      </c>
      <c r="BA14" s="19">
        <v>4</v>
      </c>
      <c r="BB14" s="19">
        <v>4</v>
      </c>
      <c r="BC14" s="19">
        <v>4</v>
      </c>
      <c r="BD14" s="19">
        <v>4</v>
      </c>
      <c r="BE14" s="19">
        <v>4</v>
      </c>
      <c r="BF14" s="19">
        <v>4</v>
      </c>
      <c r="BG14" s="19">
        <v>4</v>
      </c>
      <c r="BH14" s="19">
        <v>4</v>
      </c>
      <c r="BI14" s="19">
        <v>4</v>
      </c>
      <c r="BJ14" s="19">
        <v>4</v>
      </c>
      <c r="BK14" s="142"/>
      <c r="BL14" s="19">
        <v>4</v>
      </c>
      <c r="BM14" s="19">
        <v>4</v>
      </c>
      <c r="BN14" s="19">
        <v>4</v>
      </c>
      <c r="BO14" s="19">
        <v>4</v>
      </c>
      <c r="BP14" s="19">
        <v>4</v>
      </c>
      <c r="BQ14" s="19">
        <v>4</v>
      </c>
      <c r="BR14" s="19">
        <v>4</v>
      </c>
      <c r="BS14" s="19">
        <v>4</v>
      </c>
      <c r="BT14" s="19">
        <v>4</v>
      </c>
      <c r="BU14" s="19">
        <v>4</v>
      </c>
      <c r="BV14" s="19">
        <v>4</v>
      </c>
      <c r="BW14" s="19">
        <v>4</v>
      </c>
      <c r="BX14" s="19">
        <v>4</v>
      </c>
      <c r="BY14" s="19">
        <v>4</v>
      </c>
      <c r="BZ14" s="19">
        <v>4</v>
      </c>
      <c r="CA14" s="19">
        <v>4</v>
      </c>
      <c r="CB14" s="19">
        <v>4</v>
      </c>
      <c r="CC14" s="19">
        <v>4</v>
      </c>
      <c r="CD14" s="19">
        <v>4</v>
      </c>
      <c r="CE14" s="19">
        <v>4</v>
      </c>
      <c r="CF14" s="19">
        <v>4</v>
      </c>
      <c r="CG14" s="19">
        <v>4</v>
      </c>
      <c r="CH14" s="19">
        <v>4</v>
      </c>
      <c r="CI14" s="19">
        <v>4</v>
      </c>
      <c r="CJ14" s="19">
        <v>4</v>
      </c>
      <c r="CK14" s="19">
        <v>4</v>
      </c>
      <c r="CL14" s="19">
        <v>4</v>
      </c>
      <c r="CM14" s="19">
        <v>4</v>
      </c>
      <c r="CN14" s="19">
        <v>4</v>
      </c>
      <c r="CO14" s="19">
        <v>4</v>
      </c>
      <c r="CP14" s="19">
        <v>4</v>
      </c>
      <c r="CQ14" s="19">
        <v>4</v>
      </c>
      <c r="CR14" s="19">
        <v>4</v>
      </c>
      <c r="CS14" s="19">
        <v>4</v>
      </c>
      <c r="CT14" s="19">
        <v>4</v>
      </c>
      <c r="CU14" s="19">
        <v>4</v>
      </c>
      <c r="CV14" s="19">
        <v>4</v>
      </c>
      <c r="CW14" s="19">
        <v>4</v>
      </c>
      <c r="CX14" s="19">
        <v>4</v>
      </c>
      <c r="CY14" s="19">
        <v>4</v>
      </c>
      <c r="CZ14" s="19">
        <v>4</v>
      </c>
      <c r="DA14" s="19">
        <v>4</v>
      </c>
      <c r="DB14" s="19">
        <v>4</v>
      </c>
      <c r="DC14" s="19">
        <v>4</v>
      </c>
      <c r="DD14" s="19">
        <v>4</v>
      </c>
      <c r="DE14" s="19">
        <v>4</v>
      </c>
      <c r="DF14" s="19">
        <v>4</v>
      </c>
      <c r="DG14" s="19">
        <v>4</v>
      </c>
      <c r="DH14" s="19">
        <v>4</v>
      </c>
      <c r="DI14" s="19">
        <v>4</v>
      </c>
      <c r="DJ14" s="20">
        <v>4</v>
      </c>
      <c r="DK14" s="19"/>
      <c r="DL14" s="19"/>
      <c r="DM14" s="19"/>
      <c r="DN14" s="19"/>
      <c r="DO14" s="13">
        <f t="shared" si="0"/>
        <v>450</v>
      </c>
      <c r="DP14" s="69"/>
    </row>
    <row r="15" spans="1:120" ht="15" customHeight="1" x14ac:dyDescent="0.25">
      <c r="A15" s="145"/>
      <c r="B15" s="127"/>
      <c r="C15" s="158"/>
      <c r="D15" s="131"/>
      <c r="E15" s="131"/>
      <c r="F15" s="131"/>
      <c r="G15" s="131"/>
      <c r="H15" s="131"/>
      <c r="I15" s="106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58"/>
      <c r="AT15" s="58"/>
      <c r="AU15" s="58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21"/>
      <c r="BG15" s="14"/>
      <c r="BH15" s="14"/>
      <c r="BI15" s="14"/>
      <c r="BJ15" s="14"/>
      <c r="BK15" s="142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22"/>
      <c r="CS15" s="22"/>
      <c r="CT15" s="22"/>
      <c r="CU15" s="22"/>
      <c r="CV15" s="22"/>
      <c r="CW15" s="22"/>
      <c r="CX15" s="15"/>
      <c r="CY15" s="15"/>
      <c r="CZ15" s="15"/>
      <c r="DA15" s="15"/>
      <c r="DB15" s="23"/>
      <c r="DC15" s="23"/>
      <c r="DD15" s="15"/>
      <c r="DE15" s="15"/>
      <c r="DF15" s="15"/>
      <c r="DG15" s="15"/>
      <c r="DH15" s="24"/>
      <c r="DI15" s="24"/>
      <c r="DJ15" s="24"/>
      <c r="DK15" s="15"/>
      <c r="DL15" s="15"/>
      <c r="DM15" s="15"/>
      <c r="DN15" s="15"/>
      <c r="DO15" s="13">
        <f t="shared" si="0"/>
        <v>0</v>
      </c>
    </row>
    <row r="16" spans="1:120" ht="14.25" customHeight="1" x14ac:dyDescent="0.25">
      <c r="A16" s="144">
        <v>6</v>
      </c>
      <c r="B16" s="152" t="s">
        <v>22</v>
      </c>
      <c r="C16" s="138">
        <v>4</v>
      </c>
      <c r="D16" s="132">
        <v>100</v>
      </c>
      <c r="E16" s="132">
        <v>100</v>
      </c>
      <c r="F16" s="131"/>
      <c r="G16" s="131">
        <v>0</v>
      </c>
      <c r="H16" s="131"/>
      <c r="I16" s="106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142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>
        <v>4</v>
      </c>
      <c r="CI16" s="25">
        <v>4</v>
      </c>
      <c r="CJ16" s="25">
        <v>4</v>
      </c>
      <c r="CK16" s="25">
        <v>4</v>
      </c>
      <c r="CL16" s="25">
        <v>4</v>
      </c>
      <c r="CM16" s="25">
        <v>4</v>
      </c>
      <c r="CN16" s="25">
        <v>4</v>
      </c>
      <c r="CO16" s="25">
        <v>4</v>
      </c>
      <c r="CP16" s="25">
        <v>4</v>
      </c>
      <c r="CQ16" s="25">
        <v>4</v>
      </c>
      <c r="CR16" s="25">
        <v>4</v>
      </c>
      <c r="CS16" s="25">
        <v>4</v>
      </c>
      <c r="CT16" s="25">
        <v>3</v>
      </c>
      <c r="CU16" s="25">
        <v>3</v>
      </c>
      <c r="CV16" s="25">
        <v>3</v>
      </c>
      <c r="CW16" s="25">
        <v>3</v>
      </c>
      <c r="CX16" s="25">
        <v>3</v>
      </c>
      <c r="CY16" s="25">
        <v>3</v>
      </c>
      <c r="CZ16" s="25">
        <v>3</v>
      </c>
      <c r="DA16" s="25">
        <v>3</v>
      </c>
      <c r="DB16" s="25">
        <v>3</v>
      </c>
      <c r="DC16" s="25">
        <v>3</v>
      </c>
      <c r="DD16" s="25">
        <v>3</v>
      </c>
      <c r="DE16" s="25">
        <v>3</v>
      </c>
      <c r="DF16" s="25">
        <v>3</v>
      </c>
      <c r="DG16" s="25">
        <v>3</v>
      </c>
      <c r="DH16" s="25">
        <v>3</v>
      </c>
      <c r="DI16" s="25">
        <v>3</v>
      </c>
      <c r="DJ16" s="10">
        <v>4</v>
      </c>
      <c r="DK16" s="26"/>
      <c r="DL16" s="26"/>
      <c r="DM16" s="26"/>
      <c r="DN16" s="26"/>
      <c r="DO16" s="13">
        <f>SUM(BL16:DN16)</f>
        <v>100</v>
      </c>
      <c r="DP16" s="69"/>
    </row>
    <row r="17" spans="1:120" ht="14.25" customHeight="1" x14ac:dyDescent="0.25">
      <c r="A17" s="148"/>
      <c r="B17" s="153"/>
      <c r="C17" s="139"/>
      <c r="D17" s="133"/>
      <c r="E17" s="133"/>
      <c r="F17" s="131"/>
      <c r="G17" s="131"/>
      <c r="H17" s="131"/>
      <c r="I17" s="106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142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6"/>
      <c r="DL17" s="26"/>
      <c r="DM17" s="26"/>
      <c r="DN17" s="26"/>
      <c r="DO17" s="13">
        <f>SUM(J17:DN17)</f>
        <v>0</v>
      </c>
    </row>
    <row r="18" spans="1:120" ht="14.25" customHeight="1" x14ac:dyDescent="0.25">
      <c r="A18" s="145"/>
      <c r="B18" s="154"/>
      <c r="C18" s="140"/>
      <c r="D18" s="134"/>
      <c r="E18" s="134"/>
      <c r="F18" s="131"/>
      <c r="G18" s="131"/>
      <c r="H18" s="131"/>
      <c r="I18" s="106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58"/>
      <c r="AT18" s="58"/>
      <c r="AU18" s="58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2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3">
        <f>SUM(BL18:DN18)</f>
        <v>0</v>
      </c>
    </row>
    <row r="19" spans="1:120" ht="15" customHeight="1" x14ac:dyDescent="0.25">
      <c r="A19" s="144">
        <v>7</v>
      </c>
      <c r="B19" s="146" t="s">
        <v>23</v>
      </c>
      <c r="C19" s="138">
        <v>10</v>
      </c>
      <c r="D19" s="132">
        <v>250</v>
      </c>
      <c r="E19" s="132">
        <v>250</v>
      </c>
      <c r="F19" s="131"/>
      <c r="G19" s="131">
        <v>0</v>
      </c>
      <c r="H19" s="131"/>
      <c r="I19" s="106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>
        <v>4</v>
      </c>
      <c r="AS19" s="78">
        <v>4</v>
      </c>
      <c r="AT19" s="78">
        <v>4</v>
      </c>
      <c r="AU19" s="78">
        <v>4</v>
      </c>
      <c r="AV19" s="78">
        <v>4</v>
      </c>
      <c r="AW19" s="78">
        <v>4</v>
      </c>
      <c r="AX19" s="78">
        <v>4</v>
      </c>
      <c r="AY19" s="78">
        <v>4</v>
      </c>
      <c r="AZ19" s="78">
        <v>4</v>
      </c>
      <c r="BA19" s="78">
        <v>4</v>
      </c>
      <c r="BB19" s="78">
        <v>4</v>
      </c>
      <c r="BC19" s="78">
        <v>4</v>
      </c>
      <c r="BD19" s="78">
        <v>4</v>
      </c>
      <c r="BE19" s="78">
        <v>4</v>
      </c>
      <c r="BF19" s="78">
        <v>4</v>
      </c>
      <c r="BG19" s="78">
        <v>4</v>
      </c>
      <c r="BH19" s="78">
        <v>4</v>
      </c>
      <c r="BI19" s="78">
        <v>4</v>
      </c>
      <c r="BJ19" s="78">
        <v>4</v>
      </c>
      <c r="BK19" s="142"/>
      <c r="BL19" s="78">
        <v>3</v>
      </c>
      <c r="BM19" s="78">
        <v>3</v>
      </c>
      <c r="BN19" s="78">
        <v>3</v>
      </c>
      <c r="BO19" s="78">
        <v>3</v>
      </c>
      <c r="BP19" s="78">
        <v>3</v>
      </c>
      <c r="BQ19" s="78">
        <v>3</v>
      </c>
      <c r="BR19" s="78">
        <v>3</v>
      </c>
      <c r="BS19" s="78">
        <v>3</v>
      </c>
      <c r="BT19" s="78">
        <v>3</v>
      </c>
      <c r="BU19" s="78">
        <v>3</v>
      </c>
      <c r="BV19" s="78">
        <v>3</v>
      </c>
      <c r="BW19" s="78">
        <v>3</v>
      </c>
      <c r="BX19" s="78">
        <v>3</v>
      </c>
      <c r="BY19" s="78">
        <v>3</v>
      </c>
      <c r="BZ19" s="78">
        <v>3</v>
      </c>
      <c r="CA19" s="78">
        <v>3</v>
      </c>
      <c r="CB19" s="78">
        <v>3</v>
      </c>
      <c r="CC19" s="78">
        <v>3</v>
      </c>
      <c r="CD19" s="78">
        <v>3</v>
      </c>
      <c r="CE19" s="78">
        <v>3</v>
      </c>
      <c r="CF19" s="78">
        <v>3</v>
      </c>
      <c r="CG19" s="78">
        <v>3</v>
      </c>
      <c r="CH19" s="78">
        <v>4</v>
      </c>
      <c r="CI19" s="78">
        <v>4</v>
      </c>
      <c r="CJ19" s="78">
        <v>4</v>
      </c>
      <c r="CK19" s="78">
        <v>4</v>
      </c>
      <c r="CL19" s="78">
        <v>4</v>
      </c>
      <c r="CM19" s="78">
        <v>4</v>
      </c>
      <c r="CN19" s="78">
        <v>4</v>
      </c>
      <c r="CO19" s="78">
        <v>4</v>
      </c>
      <c r="CP19" s="78">
        <v>4</v>
      </c>
      <c r="CQ19" s="78">
        <v>4</v>
      </c>
      <c r="CR19" s="78">
        <v>4</v>
      </c>
      <c r="CS19" s="78">
        <v>4</v>
      </c>
      <c r="CT19" s="78">
        <v>3</v>
      </c>
      <c r="CU19" s="78">
        <v>3</v>
      </c>
      <c r="CV19" s="78">
        <v>3</v>
      </c>
      <c r="CW19" s="78">
        <v>3</v>
      </c>
      <c r="CX19" s="78">
        <v>3</v>
      </c>
      <c r="CY19" s="78">
        <v>3</v>
      </c>
      <c r="CZ19" s="78">
        <v>3</v>
      </c>
      <c r="DA19" s="78">
        <v>3</v>
      </c>
      <c r="DB19" s="78">
        <v>3</v>
      </c>
      <c r="DC19" s="78">
        <v>3</v>
      </c>
      <c r="DD19" s="78">
        <v>3</v>
      </c>
      <c r="DE19" s="78">
        <v>3</v>
      </c>
      <c r="DF19" s="78">
        <v>4</v>
      </c>
      <c r="DG19" s="78">
        <v>4</v>
      </c>
      <c r="DH19" s="78">
        <v>4</v>
      </c>
      <c r="DI19" s="78">
        <v>6</v>
      </c>
      <c r="DJ19" s="10">
        <v>6</v>
      </c>
      <c r="DK19" s="78"/>
      <c r="DL19" s="78"/>
      <c r="DM19" s="78"/>
      <c r="DN19" s="78"/>
      <c r="DO19" s="13">
        <f>SUM(AR19:DN19)</f>
        <v>250</v>
      </c>
    </row>
    <row r="20" spans="1:120" ht="15" customHeight="1" x14ac:dyDescent="0.25">
      <c r="A20" s="145"/>
      <c r="B20" s="147"/>
      <c r="C20" s="140"/>
      <c r="D20" s="134"/>
      <c r="E20" s="134"/>
      <c r="F20" s="131"/>
      <c r="G20" s="131"/>
      <c r="H20" s="131"/>
      <c r="I20" s="106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58"/>
      <c r="AT20" s="58"/>
      <c r="AU20" s="58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2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3">
        <f>SUM(BL20:DN20)</f>
        <v>0</v>
      </c>
      <c r="DP20" s="69"/>
    </row>
    <row r="21" spans="1:120" ht="15.75" customHeight="1" x14ac:dyDescent="0.25">
      <c r="A21" s="4"/>
      <c r="B21" s="85" t="s">
        <v>19</v>
      </c>
      <c r="C21" s="103"/>
      <c r="D21" s="104"/>
      <c r="E21" s="105"/>
      <c r="F21" s="106"/>
      <c r="G21" s="106"/>
      <c r="H21" s="106"/>
      <c r="I21" s="106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58"/>
      <c r="AT21" s="58"/>
      <c r="AU21" s="58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2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3">
        <v>0</v>
      </c>
    </row>
    <row r="22" spans="1:120" ht="12.75" customHeight="1" x14ac:dyDescent="0.25">
      <c r="A22" s="144">
        <v>8</v>
      </c>
      <c r="B22" s="135" t="s">
        <v>8</v>
      </c>
      <c r="C22" s="138">
        <v>8</v>
      </c>
      <c r="D22" s="132">
        <v>186</v>
      </c>
      <c r="E22" s="157">
        <v>200</v>
      </c>
      <c r="F22" s="131">
        <v>176</v>
      </c>
      <c r="G22" s="131">
        <v>14</v>
      </c>
      <c r="H22" s="131">
        <v>10</v>
      </c>
      <c r="I22" s="102" t="s">
        <v>42</v>
      </c>
      <c r="J22" s="9">
        <v>5</v>
      </c>
      <c r="K22" s="9">
        <v>5</v>
      </c>
      <c r="L22" s="9">
        <v>5</v>
      </c>
      <c r="M22" s="9">
        <v>5</v>
      </c>
      <c r="N22" s="34">
        <v>4</v>
      </c>
      <c r="O22" s="9">
        <v>5</v>
      </c>
      <c r="P22" s="9">
        <v>5</v>
      </c>
      <c r="Q22" s="34">
        <v>3</v>
      </c>
      <c r="R22" s="9">
        <v>5</v>
      </c>
      <c r="S22" s="9">
        <v>5</v>
      </c>
      <c r="T22" s="9">
        <v>5</v>
      </c>
      <c r="U22" s="34">
        <v>4</v>
      </c>
      <c r="V22" s="9">
        <v>5</v>
      </c>
      <c r="W22" s="9">
        <v>5</v>
      </c>
      <c r="X22" s="9">
        <v>5</v>
      </c>
      <c r="Y22" s="9">
        <v>5</v>
      </c>
      <c r="Z22" s="9">
        <v>5</v>
      </c>
      <c r="AA22" s="9">
        <v>5</v>
      </c>
      <c r="AB22" s="9">
        <v>5</v>
      </c>
      <c r="AC22" s="34">
        <v>4</v>
      </c>
      <c r="AD22" s="34">
        <v>4</v>
      </c>
      <c r="AE22" s="9">
        <v>5</v>
      </c>
      <c r="AF22" s="9">
        <v>4</v>
      </c>
      <c r="AG22" s="9">
        <v>4</v>
      </c>
      <c r="AH22" s="9">
        <v>4</v>
      </c>
      <c r="AI22" s="9">
        <v>4</v>
      </c>
      <c r="AJ22" s="9">
        <v>4</v>
      </c>
      <c r="AK22" s="9">
        <v>4</v>
      </c>
      <c r="AL22" s="9">
        <v>4</v>
      </c>
      <c r="AM22" s="9">
        <v>4</v>
      </c>
      <c r="AN22" s="9">
        <v>4</v>
      </c>
      <c r="AO22" s="9">
        <v>4</v>
      </c>
      <c r="AP22" s="9">
        <v>4</v>
      </c>
      <c r="AQ22" s="9">
        <v>4</v>
      </c>
      <c r="AR22" s="9">
        <v>4</v>
      </c>
      <c r="AS22" s="34">
        <v>3</v>
      </c>
      <c r="AT22" s="34">
        <v>2</v>
      </c>
      <c r="AU22" s="9">
        <v>4</v>
      </c>
      <c r="AV22" s="9">
        <v>4</v>
      </c>
      <c r="AW22" s="9">
        <v>4</v>
      </c>
      <c r="AX22" s="34">
        <v>3</v>
      </c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142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3">
        <f t="shared" ref="DO22:DO30" si="1">SUM(J22:DN22)</f>
        <v>176</v>
      </c>
      <c r="DP22" s="69"/>
    </row>
    <row r="23" spans="1:120" ht="12.75" customHeight="1" x14ac:dyDescent="0.25">
      <c r="A23" s="148"/>
      <c r="B23" s="136"/>
      <c r="C23" s="139"/>
      <c r="D23" s="133"/>
      <c r="E23" s="157"/>
      <c r="F23" s="131"/>
      <c r="G23" s="131"/>
      <c r="H23" s="131"/>
      <c r="I23" s="102" t="s">
        <v>41</v>
      </c>
      <c r="J23" s="9"/>
      <c r="K23" s="9"/>
      <c r="L23" s="9"/>
      <c r="M23" s="9"/>
      <c r="N23" s="27">
        <v>1</v>
      </c>
      <c r="O23" s="9"/>
      <c r="P23" s="9"/>
      <c r="Q23" s="27">
        <v>2</v>
      </c>
      <c r="R23" s="9"/>
      <c r="S23" s="9"/>
      <c r="T23" s="9"/>
      <c r="U23" s="27">
        <v>1</v>
      </c>
      <c r="V23" s="9"/>
      <c r="W23" s="9"/>
      <c r="X23" s="9"/>
      <c r="Y23" s="9"/>
      <c r="Z23" s="9"/>
      <c r="AA23" s="9"/>
      <c r="AB23" s="9"/>
      <c r="AC23" s="27">
        <v>1</v>
      </c>
      <c r="AD23" s="27">
        <v>1</v>
      </c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27">
        <v>1</v>
      </c>
      <c r="AT23" s="27">
        <v>2</v>
      </c>
      <c r="AU23" s="9"/>
      <c r="AV23" s="9"/>
      <c r="AW23" s="9"/>
      <c r="AX23" s="27">
        <v>1</v>
      </c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142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3">
        <f t="shared" si="1"/>
        <v>10</v>
      </c>
      <c r="DP23" s="69"/>
    </row>
    <row r="24" spans="1:120" ht="12.75" customHeight="1" x14ac:dyDescent="0.25">
      <c r="A24" s="145"/>
      <c r="B24" s="137"/>
      <c r="C24" s="140"/>
      <c r="D24" s="134"/>
      <c r="E24" s="157"/>
      <c r="F24" s="131"/>
      <c r="G24" s="131"/>
      <c r="H24" s="131"/>
      <c r="I24" s="102" t="s">
        <v>43</v>
      </c>
      <c r="J24" s="14"/>
      <c r="K24" s="14"/>
      <c r="L24" s="14"/>
      <c r="M24" s="14"/>
      <c r="N24" s="14">
        <v>1</v>
      </c>
      <c r="O24" s="14">
        <v>1</v>
      </c>
      <c r="P24" s="14"/>
      <c r="Q24" s="14"/>
      <c r="R24" s="14">
        <v>1</v>
      </c>
      <c r="S24" s="14">
        <v>1</v>
      </c>
      <c r="T24" s="14">
        <v>1</v>
      </c>
      <c r="U24" s="14"/>
      <c r="V24" s="14"/>
      <c r="W24" s="14"/>
      <c r="X24" s="14"/>
      <c r="Y24" s="14">
        <v>1</v>
      </c>
      <c r="Z24" s="14"/>
      <c r="AA24" s="14"/>
      <c r="AB24" s="14"/>
      <c r="AC24" s="14">
        <v>1</v>
      </c>
      <c r="AD24" s="14"/>
      <c r="AE24" s="14"/>
      <c r="AF24" s="14"/>
      <c r="AG24" s="14">
        <v>1</v>
      </c>
      <c r="AH24" s="14"/>
      <c r="AI24" s="14"/>
      <c r="AJ24" s="14"/>
      <c r="AK24" s="14">
        <v>1</v>
      </c>
      <c r="AL24" s="14"/>
      <c r="AM24" s="14"/>
      <c r="AN24" s="14"/>
      <c r="AO24" s="14">
        <v>1</v>
      </c>
      <c r="AP24" s="14"/>
      <c r="AQ24" s="14"/>
      <c r="AR24" s="14">
        <v>1</v>
      </c>
      <c r="AS24" s="29"/>
      <c r="AT24" s="14"/>
      <c r="AU24" s="29">
        <v>1</v>
      </c>
      <c r="AV24" s="14">
        <v>1</v>
      </c>
      <c r="AW24" s="14"/>
      <c r="AX24" s="14">
        <v>1</v>
      </c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2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3">
        <f t="shared" si="1"/>
        <v>14</v>
      </c>
    </row>
    <row r="25" spans="1:120" ht="12.75" customHeight="1" x14ac:dyDescent="0.25">
      <c r="A25" s="144">
        <v>9</v>
      </c>
      <c r="B25" s="135" t="s">
        <v>10</v>
      </c>
      <c r="C25" s="138">
        <v>7</v>
      </c>
      <c r="D25" s="132">
        <v>160</v>
      </c>
      <c r="E25" s="157">
        <v>175</v>
      </c>
      <c r="F25" s="131">
        <v>152</v>
      </c>
      <c r="G25" s="131">
        <v>15</v>
      </c>
      <c r="H25" s="131">
        <v>8</v>
      </c>
      <c r="I25" s="102" t="s">
        <v>42</v>
      </c>
      <c r="J25" s="9">
        <v>3</v>
      </c>
      <c r="K25" s="9">
        <v>3</v>
      </c>
      <c r="L25" s="9">
        <v>3</v>
      </c>
      <c r="M25" s="9">
        <v>3</v>
      </c>
      <c r="N25" s="9">
        <v>3</v>
      </c>
      <c r="O25" s="9">
        <v>3</v>
      </c>
      <c r="P25" s="9">
        <v>3</v>
      </c>
      <c r="Q25" s="9">
        <v>3</v>
      </c>
      <c r="R25" s="34">
        <v>2</v>
      </c>
      <c r="S25" s="9">
        <v>3</v>
      </c>
      <c r="T25" s="9">
        <v>3</v>
      </c>
      <c r="U25" s="9">
        <v>3</v>
      </c>
      <c r="V25" s="9">
        <v>3</v>
      </c>
      <c r="W25" s="9">
        <v>3</v>
      </c>
      <c r="X25" s="9">
        <v>3</v>
      </c>
      <c r="Y25" s="9">
        <v>3</v>
      </c>
      <c r="Z25" s="9">
        <v>3</v>
      </c>
      <c r="AA25" s="9">
        <v>3</v>
      </c>
      <c r="AB25" s="34">
        <v>1</v>
      </c>
      <c r="AC25" s="9">
        <v>3</v>
      </c>
      <c r="AD25" s="9">
        <v>3</v>
      </c>
      <c r="AE25" s="9">
        <v>3</v>
      </c>
      <c r="AF25" s="9">
        <v>4</v>
      </c>
      <c r="AG25" s="9">
        <v>4</v>
      </c>
      <c r="AH25" s="9">
        <v>4</v>
      </c>
      <c r="AI25" s="34">
        <v>3</v>
      </c>
      <c r="AJ25" s="9">
        <v>4</v>
      </c>
      <c r="AK25" s="9">
        <v>4</v>
      </c>
      <c r="AL25" s="9">
        <v>4</v>
      </c>
      <c r="AM25" s="9">
        <v>4</v>
      </c>
      <c r="AN25" s="34">
        <v>2</v>
      </c>
      <c r="AO25" s="9">
        <v>4</v>
      </c>
      <c r="AP25" s="9">
        <v>4</v>
      </c>
      <c r="AQ25" s="9">
        <v>4</v>
      </c>
      <c r="AR25" s="9">
        <v>4</v>
      </c>
      <c r="AS25" s="9">
        <v>4</v>
      </c>
      <c r="AT25" s="34">
        <v>3</v>
      </c>
      <c r="AU25" s="9">
        <v>4</v>
      </c>
      <c r="AV25" s="9">
        <v>4</v>
      </c>
      <c r="AW25" s="9">
        <v>4</v>
      </c>
      <c r="AX25" s="9">
        <v>4</v>
      </c>
      <c r="AY25" s="9">
        <v>9</v>
      </c>
      <c r="AZ25" s="34">
        <v>8</v>
      </c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142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2"/>
      <c r="DL25" s="12"/>
      <c r="DM25" s="12"/>
      <c r="DN25" s="12"/>
      <c r="DO25" s="13">
        <f t="shared" si="1"/>
        <v>152</v>
      </c>
      <c r="DP25" s="69"/>
    </row>
    <row r="26" spans="1:120" ht="12.75" customHeight="1" x14ac:dyDescent="0.25">
      <c r="A26" s="148"/>
      <c r="B26" s="136"/>
      <c r="C26" s="139"/>
      <c r="D26" s="133"/>
      <c r="E26" s="157"/>
      <c r="F26" s="131"/>
      <c r="G26" s="131"/>
      <c r="H26" s="131"/>
      <c r="I26" s="102" t="s">
        <v>41</v>
      </c>
      <c r="J26" s="9"/>
      <c r="K26" s="9"/>
      <c r="L26" s="9"/>
      <c r="M26" s="9"/>
      <c r="N26" s="9"/>
      <c r="O26" s="9"/>
      <c r="P26" s="9"/>
      <c r="Q26" s="9"/>
      <c r="R26" s="27">
        <v>1</v>
      </c>
      <c r="S26" s="9"/>
      <c r="T26" s="9"/>
      <c r="U26" s="9"/>
      <c r="V26" s="9"/>
      <c r="W26" s="9"/>
      <c r="X26" s="9"/>
      <c r="Y26" s="9"/>
      <c r="Z26" s="9"/>
      <c r="AA26" s="9"/>
      <c r="AB26" s="27">
        <v>2</v>
      </c>
      <c r="AC26" s="9"/>
      <c r="AD26" s="9"/>
      <c r="AE26" s="9"/>
      <c r="AF26" s="9"/>
      <c r="AG26" s="9"/>
      <c r="AH26" s="9"/>
      <c r="AI26" s="27">
        <v>1</v>
      </c>
      <c r="AJ26" s="9"/>
      <c r="AK26" s="9"/>
      <c r="AL26" s="9"/>
      <c r="AM26" s="9"/>
      <c r="AN26" s="27">
        <v>2</v>
      </c>
      <c r="AO26" s="9"/>
      <c r="AP26" s="9"/>
      <c r="AQ26" s="9"/>
      <c r="AR26" s="9"/>
      <c r="AS26" s="9"/>
      <c r="AT26" s="27">
        <v>1</v>
      </c>
      <c r="AU26" s="9"/>
      <c r="AV26" s="9"/>
      <c r="AW26" s="9"/>
      <c r="AX26" s="9"/>
      <c r="AY26" s="9"/>
      <c r="AZ26" s="27">
        <v>1</v>
      </c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142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2"/>
      <c r="DL26" s="12"/>
      <c r="DM26" s="12"/>
      <c r="DN26" s="12"/>
      <c r="DO26" s="13">
        <f t="shared" si="1"/>
        <v>8</v>
      </c>
      <c r="DP26" s="69"/>
    </row>
    <row r="27" spans="1:120" ht="12.75" customHeight="1" x14ac:dyDescent="0.25">
      <c r="A27" s="145"/>
      <c r="B27" s="137"/>
      <c r="C27" s="140"/>
      <c r="D27" s="134"/>
      <c r="E27" s="157"/>
      <c r="F27" s="131"/>
      <c r="G27" s="131"/>
      <c r="H27" s="131"/>
      <c r="I27" s="102" t="s">
        <v>43</v>
      </c>
      <c r="J27" s="14"/>
      <c r="K27" s="14"/>
      <c r="L27" s="14"/>
      <c r="M27" s="14"/>
      <c r="N27" s="14">
        <v>1</v>
      </c>
      <c r="O27" s="14"/>
      <c r="P27" s="14"/>
      <c r="Q27" s="14">
        <v>1</v>
      </c>
      <c r="R27" s="14"/>
      <c r="S27" s="14"/>
      <c r="T27" s="14"/>
      <c r="U27" s="14"/>
      <c r="V27" s="14">
        <v>1</v>
      </c>
      <c r="W27" s="14"/>
      <c r="X27" s="14"/>
      <c r="Y27" s="14"/>
      <c r="Z27" s="14">
        <v>1</v>
      </c>
      <c r="AA27" s="14"/>
      <c r="AB27" s="14"/>
      <c r="AC27" s="14">
        <v>1</v>
      </c>
      <c r="AD27" s="14"/>
      <c r="AE27" s="14"/>
      <c r="AF27" s="14">
        <v>1</v>
      </c>
      <c r="AG27" s="14"/>
      <c r="AH27" s="14">
        <v>1</v>
      </c>
      <c r="AI27" s="14"/>
      <c r="AJ27" s="14">
        <v>1</v>
      </c>
      <c r="AK27" s="14"/>
      <c r="AL27" s="14">
        <v>1</v>
      </c>
      <c r="AM27" s="14"/>
      <c r="AN27" s="14">
        <v>1</v>
      </c>
      <c r="AO27" s="14"/>
      <c r="AP27" s="14"/>
      <c r="AQ27" s="14">
        <v>1</v>
      </c>
      <c r="AR27" s="14"/>
      <c r="AS27" s="58"/>
      <c r="AT27" s="14"/>
      <c r="AU27" s="29">
        <v>1</v>
      </c>
      <c r="AV27" s="14"/>
      <c r="AW27" s="14">
        <v>1</v>
      </c>
      <c r="AX27" s="14"/>
      <c r="AY27" s="14">
        <v>1</v>
      </c>
      <c r="AZ27" s="14">
        <v>1</v>
      </c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2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22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23"/>
      <c r="DI27" s="16"/>
      <c r="DJ27" s="15"/>
      <c r="DK27" s="16"/>
      <c r="DL27" s="16"/>
      <c r="DM27" s="16"/>
      <c r="DN27" s="16"/>
      <c r="DO27" s="13">
        <f t="shared" si="1"/>
        <v>15</v>
      </c>
    </row>
    <row r="28" spans="1:120" ht="12.75" customHeight="1" x14ac:dyDescent="0.25">
      <c r="A28" s="144">
        <v>10</v>
      </c>
      <c r="B28" s="159" t="s">
        <v>9</v>
      </c>
      <c r="C28" s="138">
        <v>5</v>
      </c>
      <c r="D28" s="132">
        <v>101</v>
      </c>
      <c r="E28" s="132">
        <v>125</v>
      </c>
      <c r="F28" s="131">
        <v>96</v>
      </c>
      <c r="G28" s="131">
        <v>24</v>
      </c>
      <c r="H28" s="131">
        <v>5</v>
      </c>
      <c r="I28" s="102" t="s">
        <v>42</v>
      </c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142"/>
      <c r="BL28" s="78">
        <v>2</v>
      </c>
      <c r="BM28" s="78">
        <v>2</v>
      </c>
      <c r="BN28" s="78">
        <v>2</v>
      </c>
      <c r="BO28" s="78">
        <v>2</v>
      </c>
      <c r="BP28" s="78">
        <v>2</v>
      </c>
      <c r="BQ28" s="78">
        <v>2</v>
      </c>
      <c r="BR28" s="78">
        <v>2</v>
      </c>
      <c r="BS28" s="78">
        <v>2</v>
      </c>
      <c r="BT28" s="78">
        <v>2</v>
      </c>
      <c r="BU28" s="78">
        <v>2</v>
      </c>
      <c r="BV28" s="78">
        <v>2</v>
      </c>
      <c r="BW28" s="78">
        <v>2</v>
      </c>
      <c r="BX28" s="78">
        <v>2</v>
      </c>
      <c r="BY28" s="78">
        <v>2</v>
      </c>
      <c r="BZ28" s="78">
        <v>2</v>
      </c>
      <c r="CA28" s="78">
        <v>2</v>
      </c>
      <c r="CB28" s="78">
        <v>2</v>
      </c>
      <c r="CC28" s="78">
        <v>2</v>
      </c>
      <c r="CD28" s="78">
        <v>2</v>
      </c>
      <c r="CE28" s="78">
        <v>2</v>
      </c>
      <c r="CF28" s="78">
        <v>2</v>
      </c>
      <c r="CG28" s="78">
        <v>2</v>
      </c>
      <c r="CH28" s="78">
        <v>2</v>
      </c>
      <c r="CI28" s="78">
        <v>2</v>
      </c>
      <c r="CJ28" s="78">
        <v>2</v>
      </c>
      <c r="CK28" s="78">
        <v>2</v>
      </c>
      <c r="CL28" s="78">
        <v>2</v>
      </c>
      <c r="CM28" s="78">
        <v>2</v>
      </c>
      <c r="CN28" s="34"/>
      <c r="CO28" s="34">
        <v>1</v>
      </c>
      <c r="CP28" s="78">
        <v>2</v>
      </c>
      <c r="CQ28" s="78">
        <v>2</v>
      </c>
      <c r="CR28" s="78">
        <v>2</v>
      </c>
      <c r="CS28" s="78">
        <v>2</v>
      </c>
      <c r="CT28" s="78">
        <v>2</v>
      </c>
      <c r="CU28" s="78">
        <v>2</v>
      </c>
      <c r="CV28" s="78">
        <v>2</v>
      </c>
      <c r="CW28" s="78">
        <v>2</v>
      </c>
      <c r="CX28" s="78">
        <v>2</v>
      </c>
      <c r="CY28" s="78">
        <v>2</v>
      </c>
      <c r="CZ28" s="78">
        <v>2</v>
      </c>
      <c r="DA28" s="78">
        <v>2</v>
      </c>
      <c r="DB28" s="78">
        <v>2</v>
      </c>
      <c r="DC28" s="78">
        <v>2</v>
      </c>
      <c r="DD28" s="78">
        <v>2</v>
      </c>
      <c r="DE28" s="78">
        <v>2</v>
      </c>
      <c r="DF28" s="78">
        <v>3</v>
      </c>
      <c r="DG28" s="78">
        <v>3</v>
      </c>
      <c r="DH28" s="34">
        <v>1</v>
      </c>
      <c r="DI28" s="78"/>
      <c r="DJ28" s="78"/>
      <c r="DK28" s="80"/>
      <c r="DL28" s="80"/>
      <c r="DM28" s="80"/>
      <c r="DN28" s="80"/>
      <c r="DO28" s="13">
        <f t="shared" si="1"/>
        <v>96</v>
      </c>
      <c r="DP28" s="69"/>
    </row>
    <row r="29" spans="1:120" ht="12.75" customHeight="1" x14ac:dyDescent="0.25">
      <c r="A29" s="148"/>
      <c r="B29" s="160"/>
      <c r="C29" s="139"/>
      <c r="D29" s="133"/>
      <c r="E29" s="133"/>
      <c r="F29" s="131"/>
      <c r="G29" s="131"/>
      <c r="H29" s="131"/>
      <c r="I29" s="102" t="s">
        <v>41</v>
      </c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8"/>
      <c r="BK29" s="142"/>
      <c r="BL29" s="78"/>
      <c r="BM29" s="78"/>
      <c r="BN29" s="78"/>
      <c r="BO29" s="78"/>
      <c r="BP29" s="78"/>
      <c r="BQ29" s="78"/>
      <c r="BR29" s="78"/>
      <c r="BS29" s="78"/>
      <c r="BT29" s="78"/>
      <c r="BU29" s="78"/>
      <c r="BV29" s="78"/>
      <c r="BW29" s="78"/>
      <c r="BX29" s="78"/>
      <c r="BY29" s="78"/>
      <c r="BZ29" s="78"/>
      <c r="CA29" s="78"/>
      <c r="CB29" s="78"/>
      <c r="CC29" s="78"/>
      <c r="CD29" s="78"/>
      <c r="CE29" s="78"/>
      <c r="CF29" s="78"/>
      <c r="CG29" s="78"/>
      <c r="CH29" s="78"/>
      <c r="CI29" s="78"/>
      <c r="CJ29" s="78"/>
      <c r="CK29" s="78"/>
      <c r="CL29" s="78"/>
      <c r="CM29" s="78"/>
      <c r="CN29" s="27">
        <v>2</v>
      </c>
      <c r="CO29" s="27">
        <v>1</v>
      </c>
      <c r="CP29" s="79"/>
      <c r="CQ29" s="78"/>
      <c r="CR29" s="78"/>
      <c r="CS29" s="78"/>
      <c r="CT29" s="78"/>
      <c r="CU29" s="78"/>
      <c r="CV29" s="78"/>
      <c r="CW29" s="78"/>
      <c r="CX29" s="78"/>
      <c r="CY29" s="78"/>
      <c r="CZ29" s="78"/>
      <c r="DA29" s="78"/>
      <c r="DB29" s="78"/>
      <c r="DC29" s="78"/>
      <c r="DD29" s="78"/>
      <c r="DE29" s="78"/>
      <c r="DF29" s="78"/>
      <c r="DG29" s="78"/>
      <c r="DH29" s="27">
        <v>2</v>
      </c>
      <c r="DI29" s="78"/>
      <c r="DJ29" s="78"/>
      <c r="DK29" s="80"/>
      <c r="DL29" s="80"/>
      <c r="DM29" s="80"/>
      <c r="DN29" s="80"/>
      <c r="DO29" s="13">
        <f t="shared" si="1"/>
        <v>5</v>
      </c>
      <c r="DP29" s="69"/>
    </row>
    <row r="30" spans="1:120" ht="12.75" customHeight="1" x14ac:dyDescent="0.25">
      <c r="A30" s="145"/>
      <c r="B30" s="161"/>
      <c r="C30" s="140"/>
      <c r="D30" s="134"/>
      <c r="E30" s="134"/>
      <c r="F30" s="131"/>
      <c r="G30" s="131"/>
      <c r="H30" s="131"/>
      <c r="I30" s="102" t="s">
        <v>43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58"/>
      <c r="AT30" s="58"/>
      <c r="AU30" s="58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2"/>
      <c r="BL30" s="14"/>
      <c r="BM30" s="14">
        <v>1</v>
      </c>
      <c r="BN30" s="14"/>
      <c r="BO30" s="14">
        <v>1</v>
      </c>
      <c r="BP30" s="14"/>
      <c r="BQ30" s="14">
        <v>1</v>
      </c>
      <c r="BR30" s="14"/>
      <c r="BS30" s="14"/>
      <c r="BT30" s="14">
        <v>1</v>
      </c>
      <c r="BU30" s="14">
        <v>1</v>
      </c>
      <c r="BV30" s="14"/>
      <c r="BW30" s="14">
        <v>1</v>
      </c>
      <c r="BX30" s="14"/>
      <c r="BY30" s="14">
        <v>1</v>
      </c>
      <c r="BZ30" s="14">
        <v>1</v>
      </c>
      <c r="CA30" s="14"/>
      <c r="CB30" s="14"/>
      <c r="CC30" s="14">
        <v>1</v>
      </c>
      <c r="CD30" s="14"/>
      <c r="CE30" s="15">
        <v>1</v>
      </c>
      <c r="CF30" s="15"/>
      <c r="CG30" s="15">
        <v>1</v>
      </c>
      <c r="CH30" s="15"/>
      <c r="CI30" s="15">
        <v>1</v>
      </c>
      <c r="CJ30" s="15">
        <v>1</v>
      </c>
      <c r="CK30" s="15">
        <v>1</v>
      </c>
      <c r="CL30" s="15">
        <v>1</v>
      </c>
      <c r="CM30" s="15">
        <v>1</v>
      </c>
      <c r="CN30" s="15"/>
      <c r="CO30" s="15">
        <v>1</v>
      </c>
      <c r="CP30" s="28"/>
      <c r="CQ30" s="15"/>
      <c r="CR30" s="15">
        <v>1</v>
      </c>
      <c r="CS30" s="15"/>
      <c r="CT30" s="15"/>
      <c r="CU30" s="23">
        <v>1</v>
      </c>
      <c r="CV30" s="15"/>
      <c r="CW30" s="15"/>
      <c r="CX30" s="15"/>
      <c r="CY30" s="15">
        <v>1</v>
      </c>
      <c r="CZ30" s="15"/>
      <c r="DA30" s="15">
        <v>1</v>
      </c>
      <c r="DB30" s="15"/>
      <c r="DC30" s="15"/>
      <c r="DD30" s="15"/>
      <c r="DE30" s="15">
        <v>1</v>
      </c>
      <c r="DF30" s="15"/>
      <c r="DG30" s="15">
        <v>1</v>
      </c>
      <c r="DH30" s="23">
        <v>1</v>
      </c>
      <c r="DI30" s="15"/>
      <c r="DJ30" s="15"/>
      <c r="DK30" s="15"/>
      <c r="DL30" s="15"/>
      <c r="DM30" s="15"/>
      <c r="DN30" s="15"/>
      <c r="DO30" s="13">
        <f t="shared" si="1"/>
        <v>24</v>
      </c>
    </row>
    <row r="31" spans="1:120" ht="12.75" customHeight="1" x14ac:dyDescent="0.25">
      <c r="A31" s="144">
        <v>11</v>
      </c>
      <c r="B31" s="159" t="s">
        <v>11</v>
      </c>
      <c r="C31" s="138">
        <v>6</v>
      </c>
      <c r="D31" s="132">
        <v>141</v>
      </c>
      <c r="E31" s="132">
        <v>150</v>
      </c>
      <c r="F31" s="131">
        <v>136</v>
      </c>
      <c r="G31" s="131">
        <v>9</v>
      </c>
      <c r="H31" s="131">
        <v>5</v>
      </c>
      <c r="I31" s="102" t="s">
        <v>42</v>
      </c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>
        <v>6</v>
      </c>
      <c r="BB31" s="78">
        <v>6</v>
      </c>
      <c r="BC31" s="78">
        <v>6</v>
      </c>
      <c r="BD31" s="34">
        <v>5</v>
      </c>
      <c r="BE31" s="78">
        <v>6</v>
      </c>
      <c r="BF31" s="78">
        <v>6</v>
      </c>
      <c r="BG31" s="78">
        <v>6</v>
      </c>
      <c r="BH31" s="78">
        <v>6</v>
      </c>
      <c r="BI31" s="78">
        <v>6</v>
      </c>
      <c r="BJ31" s="34">
        <v>5</v>
      </c>
      <c r="BK31" s="142"/>
      <c r="BL31" s="78">
        <v>6</v>
      </c>
      <c r="BM31" s="78">
        <v>6</v>
      </c>
      <c r="BN31" s="78">
        <v>6</v>
      </c>
      <c r="BO31" s="78">
        <v>6</v>
      </c>
      <c r="BP31" s="34">
        <v>5</v>
      </c>
      <c r="BQ31" s="78">
        <v>6</v>
      </c>
      <c r="BR31" s="78">
        <v>6</v>
      </c>
      <c r="BS31" s="78">
        <v>6</v>
      </c>
      <c r="BT31" s="78">
        <v>6</v>
      </c>
      <c r="BU31" s="34">
        <v>5</v>
      </c>
      <c r="BV31" s="78">
        <v>6</v>
      </c>
      <c r="BW31" s="78">
        <v>6</v>
      </c>
      <c r="BX31" s="78">
        <v>6</v>
      </c>
      <c r="BY31" s="34">
        <v>2</v>
      </c>
      <c r="BZ31" s="78"/>
      <c r="CA31" s="78"/>
      <c r="CB31" s="78"/>
      <c r="CC31" s="78"/>
      <c r="CD31" s="78"/>
      <c r="CE31" s="78"/>
      <c r="CF31" s="78"/>
      <c r="CG31" s="78"/>
      <c r="CH31" s="78"/>
      <c r="CI31" s="78"/>
      <c r="CJ31" s="78"/>
      <c r="CK31" s="78"/>
      <c r="CL31" s="78"/>
      <c r="CM31" s="78"/>
      <c r="CN31" s="78"/>
      <c r="CO31" s="78"/>
      <c r="CP31" s="78"/>
      <c r="CQ31" s="78"/>
      <c r="CR31" s="78"/>
      <c r="CS31" s="78"/>
      <c r="CT31" s="78"/>
      <c r="CU31" s="78"/>
      <c r="CV31" s="78"/>
      <c r="CW31" s="78"/>
      <c r="CX31" s="78"/>
      <c r="CY31" s="78"/>
      <c r="CZ31" s="78"/>
      <c r="DA31" s="78"/>
      <c r="DB31" s="78"/>
      <c r="DC31" s="78"/>
      <c r="DD31" s="78"/>
      <c r="DE31" s="78"/>
      <c r="DF31" s="78"/>
      <c r="DG31" s="78"/>
      <c r="DH31" s="78"/>
      <c r="DI31" s="78"/>
      <c r="DJ31" s="78"/>
      <c r="DK31" s="78"/>
      <c r="DL31" s="78"/>
      <c r="DM31" s="78"/>
      <c r="DN31" s="78"/>
      <c r="DO31" s="13">
        <f>SUM(BA31:DN31)</f>
        <v>136</v>
      </c>
      <c r="DP31" s="69"/>
    </row>
    <row r="32" spans="1:120" ht="12.75" customHeight="1" x14ac:dyDescent="0.25">
      <c r="A32" s="148"/>
      <c r="B32" s="160"/>
      <c r="C32" s="139"/>
      <c r="D32" s="133"/>
      <c r="E32" s="133"/>
      <c r="F32" s="131"/>
      <c r="G32" s="131"/>
      <c r="H32" s="131"/>
      <c r="I32" s="102" t="s">
        <v>41</v>
      </c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78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27">
        <v>1</v>
      </c>
      <c r="BE32" s="78"/>
      <c r="BF32" s="78"/>
      <c r="BG32" s="78"/>
      <c r="BH32" s="78"/>
      <c r="BI32" s="78"/>
      <c r="BJ32" s="27">
        <v>1</v>
      </c>
      <c r="BK32" s="142"/>
      <c r="BL32" s="78"/>
      <c r="BM32" s="78"/>
      <c r="BN32" s="78"/>
      <c r="BO32" s="78"/>
      <c r="BP32" s="27">
        <v>1</v>
      </c>
      <c r="BQ32" s="78"/>
      <c r="BR32" s="78"/>
      <c r="BS32" s="78"/>
      <c r="BT32" s="78"/>
      <c r="BU32" s="27">
        <v>1</v>
      </c>
      <c r="BV32" s="78"/>
      <c r="BW32" s="78"/>
      <c r="BX32" s="78"/>
      <c r="BY32" s="27">
        <v>1</v>
      </c>
      <c r="BZ32" s="78"/>
      <c r="CA32" s="78"/>
      <c r="CB32" s="78"/>
      <c r="CC32" s="78"/>
      <c r="CD32" s="78"/>
      <c r="CE32" s="78"/>
      <c r="CF32" s="78"/>
      <c r="CG32" s="78"/>
      <c r="CH32" s="78"/>
      <c r="CI32" s="78"/>
      <c r="CJ32" s="78"/>
      <c r="CK32" s="78"/>
      <c r="CL32" s="78"/>
      <c r="CM32" s="78"/>
      <c r="CN32" s="78"/>
      <c r="CO32" s="78"/>
      <c r="CP32" s="79"/>
      <c r="CQ32" s="78"/>
      <c r="CR32" s="78"/>
      <c r="CS32" s="78"/>
      <c r="CT32" s="78"/>
      <c r="CU32" s="78"/>
      <c r="CV32" s="78"/>
      <c r="CW32" s="78"/>
      <c r="CX32" s="78"/>
      <c r="CY32" s="78"/>
      <c r="CZ32" s="78"/>
      <c r="DA32" s="78"/>
      <c r="DB32" s="78"/>
      <c r="DC32" s="78"/>
      <c r="DD32" s="78"/>
      <c r="DE32" s="78"/>
      <c r="DF32" s="78"/>
      <c r="DG32" s="78"/>
      <c r="DH32" s="78"/>
      <c r="DI32" s="78"/>
      <c r="DJ32" s="78"/>
      <c r="DK32" s="78"/>
      <c r="DL32" s="78"/>
      <c r="DM32" s="78"/>
      <c r="DN32" s="78"/>
      <c r="DO32" s="13">
        <f t="shared" ref="DO32:DO38" si="2">SUM(J32:DN32)</f>
        <v>5</v>
      </c>
      <c r="DP32" s="69"/>
    </row>
    <row r="33" spans="1:120" ht="12.75" customHeight="1" x14ac:dyDescent="0.25">
      <c r="A33" s="145"/>
      <c r="B33" s="161"/>
      <c r="C33" s="140"/>
      <c r="D33" s="134"/>
      <c r="E33" s="134"/>
      <c r="F33" s="131"/>
      <c r="G33" s="131"/>
      <c r="H33" s="131"/>
      <c r="I33" s="102" t="s">
        <v>43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58"/>
      <c r="AT33" s="58"/>
      <c r="AU33" s="58"/>
      <c r="AV33" s="29"/>
      <c r="AW33" s="29"/>
      <c r="AX33" s="29"/>
      <c r="AY33" s="29"/>
      <c r="AZ33" s="29"/>
      <c r="BA33" s="14"/>
      <c r="BB33" s="14"/>
      <c r="BC33" s="14">
        <v>1</v>
      </c>
      <c r="BD33" s="14">
        <v>1</v>
      </c>
      <c r="BE33" s="14"/>
      <c r="BF33" s="14"/>
      <c r="BG33" s="14"/>
      <c r="BH33" s="14">
        <v>1</v>
      </c>
      <c r="BI33" s="14">
        <v>1</v>
      </c>
      <c r="BJ33" s="14"/>
      <c r="BK33" s="142"/>
      <c r="BL33" s="14"/>
      <c r="BM33" s="14"/>
      <c r="BN33" s="14">
        <v>1</v>
      </c>
      <c r="BO33" s="14">
        <v>1</v>
      </c>
      <c r="BP33" s="14"/>
      <c r="BQ33" s="14"/>
      <c r="BR33" s="14"/>
      <c r="BS33" s="14"/>
      <c r="BT33" s="14">
        <v>1</v>
      </c>
      <c r="BU33" s="14">
        <v>1</v>
      </c>
      <c r="BV33" s="14"/>
      <c r="BW33" s="14"/>
      <c r="BX33" s="14"/>
      <c r="BY33" s="14">
        <v>1</v>
      </c>
      <c r="BZ33" s="14"/>
      <c r="CA33" s="14"/>
      <c r="CB33" s="14"/>
      <c r="CC33" s="14"/>
      <c r="CD33" s="14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28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6"/>
      <c r="DI33" s="16"/>
      <c r="DJ33" s="16"/>
      <c r="DK33" s="16"/>
      <c r="DL33" s="16"/>
      <c r="DM33" s="16"/>
      <c r="DN33" s="16"/>
      <c r="DO33" s="13">
        <f t="shared" si="2"/>
        <v>9</v>
      </c>
    </row>
    <row r="34" spans="1:120" ht="12.75" customHeight="1" x14ac:dyDescent="0.25">
      <c r="A34" s="144">
        <v>12</v>
      </c>
      <c r="B34" s="169" t="s">
        <v>15</v>
      </c>
      <c r="C34" s="138">
        <v>5</v>
      </c>
      <c r="D34" s="132">
        <v>117</v>
      </c>
      <c r="E34" s="132">
        <v>125</v>
      </c>
      <c r="F34" s="131">
        <v>110</v>
      </c>
      <c r="G34" s="131">
        <v>8</v>
      </c>
      <c r="H34" s="131">
        <v>7</v>
      </c>
      <c r="I34" s="102" t="s">
        <v>42</v>
      </c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142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>
        <v>6</v>
      </c>
      <c r="CA34" s="25">
        <v>6</v>
      </c>
      <c r="CB34" s="25">
        <v>6</v>
      </c>
      <c r="CC34" s="34">
        <v>5</v>
      </c>
      <c r="CD34" s="25">
        <v>6</v>
      </c>
      <c r="CE34" s="25">
        <v>6</v>
      </c>
      <c r="CF34" s="25">
        <v>6</v>
      </c>
      <c r="CG34" s="25">
        <v>6</v>
      </c>
      <c r="CH34" s="34">
        <v>3</v>
      </c>
      <c r="CI34" s="25">
        <v>6</v>
      </c>
      <c r="CJ34" s="25">
        <v>6</v>
      </c>
      <c r="CK34" s="25">
        <v>6</v>
      </c>
      <c r="CL34" s="25">
        <v>6</v>
      </c>
      <c r="CM34" s="25">
        <v>6</v>
      </c>
      <c r="CN34" s="34">
        <v>4</v>
      </c>
      <c r="CO34" s="25">
        <v>6</v>
      </c>
      <c r="CP34" s="25">
        <v>6</v>
      </c>
      <c r="CQ34" s="25">
        <v>5</v>
      </c>
      <c r="CR34" s="25">
        <v>5</v>
      </c>
      <c r="CS34" s="34">
        <v>4</v>
      </c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5"/>
      <c r="DK34" s="26"/>
      <c r="DL34" s="26"/>
      <c r="DM34" s="26"/>
      <c r="DN34" s="26"/>
      <c r="DO34" s="13">
        <f t="shared" si="2"/>
        <v>110</v>
      </c>
      <c r="DP34" s="69"/>
    </row>
    <row r="35" spans="1:120" ht="12.75" customHeight="1" x14ac:dyDescent="0.25">
      <c r="A35" s="148"/>
      <c r="B35" s="170"/>
      <c r="C35" s="139"/>
      <c r="D35" s="133"/>
      <c r="E35" s="133"/>
      <c r="F35" s="131"/>
      <c r="G35" s="131"/>
      <c r="H35" s="131"/>
      <c r="I35" s="102" t="s">
        <v>41</v>
      </c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142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7">
        <v>1</v>
      </c>
      <c r="CD35" s="25"/>
      <c r="CE35" s="25"/>
      <c r="CF35" s="25"/>
      <c r="CG35" s="25"/>
      <c r="CH35" s="27">
        <v>3</v>
      </c>
      <c r="CI35" s="25"/>
      <c r="CJ35" s="25"/>
      <c r="CK35" s="25"/>
      <c r="CL35" s="25"/>
      <c r="CM35" s="25"/>
      <c r="CN35" s="27">
        <v>2</v>
      </c>
      <c r="CO35" s="25"/>
      <c r="CP35" s="74"/>
      <c r="CQ35" s="25"/>
      <c r="CR35" s="25"/>
      <c r="CS35" s="27">
        <v>1</v>
      </c>
      <c r="CT35" s="25"/>
      <c r="CU35" s="25"/>
      <c r="CV35" s="25"/>
      <c r="CW35" s="25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25"/>
      <c r="DI35" s="25"/>
      <c r="DJ35" s="25"/>
      <c r="DK35" s="26"/>
      <c r="DL35" s="26"/>
      <c r="DM35" s="26"/>
      <c r="DN35" s="26"/>
      <c r="DO35" s="13">
        <f t="shared" si="2"/>
        <v>7</v>
      </c>
      <c r="DP35" s="69"/>
    </row>
    <row r="36" spans="1:120" ht="12.75" customHeight="1" x14ac:dyDescent="0.25">
      <c r="A36" s="145"/>
      <c r="B36" s="171"/>
      <c r="C36" s="140"/>
      <c r="D36" s="134"/>
      <c r="E36" s="134"/>
      <c r="F36" s="131"/>
      <c r="G36" s="131"/>
      <c r="H36" s="131"/>
      <c r="I36" s="102" t="s">
        <v>43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58"/>
      <c r="AT36" s="58"/>
      <c r="AU36" s="58"/>
      <c r="AV36" s="29"/>
      <c r="AW36" s="29"/>
      <c r="AX36" s="29"/>
      <c r="AY36" s="29"/>
      <c r="AZ36" s="29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2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>
        <v>1</v>
      </c>
      <c r="CC36" s="14">
        <v>1</v>
      </c>
      <c r="CD36" s="14"/>
      <c r="CE36" s="16"/>
      <c r="CF36" s="15">
        <v>1</v>
      </c>
      <c r="CG36" s="15">
        <v>1</v>
      </c>
      <c r="CH36" s="16"/>
      <c r="CI36" s="16"/>
      <c r="CJ36" s="16"/>
      <c r="CK36" s="16"/>
      <c r="CL36" s="15">
        <v>1</v>
      </c>
      <c r="CM36" s="15">
        <v>1</v>
      </c>
      <c r="CN36" s="15"/>
      <c r="CO36" s="15"/>
      <c r="CP36" s="28"/>
      <c r="CQ36" s="15"/>
      <c r="CR36" s="15">
        <v>1</v>
      </c>
      <c r="CS36" s="15">
        <v>1</v>
      </c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22"/>
      <c r="DG36" s="22"/>
      <c r="DH36" s="15"/>
      <c r="DI36" s="15"/>
      <c r="DJ36" s="15"/>
      <c r="DK36" s="15"/>
      <c r="DL36" s="15"/>
      <c r="DM36" s="15"/>
      <c r="DN36" s="15"/>
      <c r="DO36" s="13">
        <f t="shared" si="2"/>
        <v>8</v>
      </c>
    </row>
    <row r="37" spans="1:120" ht="12.75" customHeight="1" x14ac:dyDescent="0.25">
      <c r="A37" s="144">
        <v>13</v>
      </c>
      <c r="B37" s="172" t="s">
        <v>16</v>
      </c>
      <c r="C37" s="138">
        <v>3</v>
      </c>
      <c r="D37" s="132">
        <v>64</v>
      </c>
      <c r="E37" s="132">
        <v>75</v>
      </c>
      <c r="F37" s="131">
        <v>60</v>
      </c>
      <c r="G37" s="131">
        <v>11</v>
      </c>
      <c r="H37" s="131">
        <v>4</v>
      </c>
      <c r="I37" s="102" t="s">
        <v>42</v>
      </c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142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>
        <v>4</v>
      </c>
      <c r="CU37" s="30">
        <v>4</v>
      </c>
      <c r="CV37" s="30">
        <v>4</v>
      </c>
      <c r="CW37" s="30">
        <v>4</v>
      </c>
      <c r="CX37" s="30">
        <v>4</v>
      </c>
      <c r="CY37" s="34">
        <v>2</v>
      </c>
      <c r="CZ37" s="30">
        <v>4</v>
      </c>
      <c r="DA37" s="30">
        <v>4</v>
      </c>
      <c r="DB37" s="30">
        <v>4</v>
      </c>
      <c r="DC37" s="30">
        <v>4</v>
      </c>
      <c r="DD37" s="34">
        <v>3</v>
      </c>
      <c r="DE37" s="30">
        <v>5</v>
      </c>
      <c r="DF37" s="30">
        <v>5</v>
      </c>
      <c r="DG37" s="30">
        <v>5</v>
      </c>
      <c r="DH37" s="34">
        <v>4</v>
      </c>
      <c r="DI37" s="56"/>
      <c r="DJ37" s="31"/>
      <c r="DK37" s="31"/>
      <c r="DL37" s="31"/>
      <c r="DM37" s="31"/>
      <c r="DN37" s="31"/>
      <c r="DO37" s="13">
        <f t="shared" si="2"/>
        <v>60</v>
      </c>
      <c r="DP37" s="69"/>
    </row>
    <row r="38" spans="1:120" ht="12.75" customHeight="1" x14ac:dyDescent="0.25">
      <c r="A38" s="148"/>
      <c r="B38" s="173"/>
      <c r="C38" s="139"/>
      <c r="D38" s="133"/>
      <c r="E38" s="133"/>
      <c r="F38" s="131"/>
      <c r="G38" s="131"/>
      <c r="H38" s="131"/>
      <c r="I38" s="102" t="s">
        <v>41</v>
      </c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142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75"/>
      <c r="CQ38" s="30"/>
      <c r="CR38" s="30"/>
      <c r="CS38" s="30"/>
      <c r="CT38" s="30"/>
      <c r="CU38" s="30"/>
      <c r="CV38" s="30"/>
      <c r="CW38" s="30"/>
      <c r="CX38" s="30"/>
      <c r="CY38" s="27">
        <v>2</v>
      </c>
      <c r="CZ38" s="30"/>
      <c r="DA38" s="30"/>
      <c r="DB38" s="30"/>
      <c r="DC38" s="30"/>
      <c r="DD38" s="27">
        <v>1</v>
      </c>
      <c r="DE38" s="30"/>
      <c r="DF38" s="30"/>
      <c r="DG38" s="30"/>
      <c r="DH38" s="27">
        <v>1</v>
      </c>
      <c r="DI38" s="56"/>
      <c r="DJ38" s="31"/>
      <c r="DK38" s="31"/>
      <c r="DL38" s="31"/>
      <c r="DM38" s="31"/>
      <c r="DN38" s="31"/>
      <c r="DO38" s="13">
        <f t="shared" si="2"/>
        <v>4</v>
      </c>
      <c r="DP38" s="69"/>
    </row>
    <row r="39" spans="1:120" ht="19.5" customHeight="1" x14ac:dyDescent="0.25">
      <c r="A39" s="145"/>
      <c r="B39" s="174"/>
      <c r="C39" s="140"/>
      <c r="D39" s="134"/>
      <c r="E39" s="134"/>
      <c r="F39" s="131"/>
      <c r="G39" s="131"/>
      <c r="H39" s="131"/>
      <c r="I39" s="102" t="s">
        <v>43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58"/>
      <c r="AT39" s="58"/>
      <c r="AU39" s="58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2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28"/>
      <c r="CQ39" s="15"/>
      <c r="CR39" s="15"/>
      <c r="CS39" s="15"/>
      <c r="CT39" s="15"/>
      <c r="CU39" s="15"/>
      <c r="CV39" s="61">
        <v>1</v>
      </c>
      <c r="CW39" s="61">
        <v>1</v>
      </c>
      <c r="CX39" s="61">
        <v>1</v>
      </c>
      <c r="CY39" s="61"/>
      <c r="CZ39" s="61">
        <v>1</v>
      </c>
      <c r="DA39" s="61">
        <v>1</v>
      </c>
      <c r="DB39" s="61">
        <v>1</v>
      </c>
      <c r="DC39" s="61">
        <v>1</v>
      </c>
      <c r="DD39" s="61"/>
      <c r="DE39" s="61">
        <v>1</v>
      </c>
      <c r="DF39" s="62">
        <v>1</v>
      </c>
      <c r="DG39" s="62">
        <v>1</v>
      </c>
      <c r="DH39" s="61">
        <v>1</v>
      </c>
      <c r="DI39" s="15"/>
      <c r="DJ39" s="15"/>
      <c r="DK39" s="15"/>
      <c r="DL39" s="15"/>
      <c r="DM39" s="15"/>
      <c r="DN39" s="15"/>
      <c r="DO39" s="13">
        <f>SUM(CT39:DN39)</f>
        <v>11</v>
      </c>
    </row>
    <row r="40" spans="1:120" ht="12.75" customHeight="1" x14ac:dyDescent="0.25">
      <c r="A40" s="144">
        <v>14</v>
      </c>
      <c r="B40" s="175" t="s">
        <v>17</v>
      </c>
      <c r="C40" s="138">
        <v>3</v>
      </c>
      <c r="D40" s="132">
        <v>64</v>
      </c>
      <c r="E40" s="132">
        <v>75</v>
      </c>
      <c r="F40" s="131">
        <v>60</v>
      </c>
      <c r="G40" s="131">
        <v>11</v>
      </c>
      <c r="H40" s="131">
        <v>4</v>
      </c>
      <c r="I40" s="102" t="s">
        <v>42</v>
      </c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142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>
        <v>4</v>
      </c>
      <c r="CU40" s="30">
        <v>4</v>
      </c>
      <c r="CV40" s="30">
        <v>4</v>
      </c>
      <c r="CW40" s="30">
        <v>4</v>
      </c>
      <c r="CX40" s="30">
        <v>4</v>
      </c>
      <c r="CY40" s="34">
        <v>2</v>
      </c>
      <c r="CZ40" s="30">
        <v>4</v>
      </c>
      <c r="DA40" s="30">
        <v>4</v>
      </c>
      <c r="DB40" s="30">
        <v>4</v>
      </c>
      <c r="DC40" s="30">
        <v>4</v>
      </c>
      <c r="DD40" s="34">
        <v>3</v>
      </c>
      <c r="DE40" s="30">
        <v>5</v>
      </c>
      <c r="DF40" s="30">
        <v>5</v>
      </c>
      <c r="DG40" s="30">
        <v>5</v>
      </c>
      <c r="DH40" s="34">
        <v>4</v>
      </c>
      <c r="DI40" s="57"/>
      <c r="DJ40" s="30"/>
      <c r="DK40" s="30"/>
      <c r="DL40" s="30"/>
      <c r="DM40" s="30"/>
      <c r="DN40" s="30"/>
      <c r="DO40" s="13">
        <f>SUM(CT40:DN40)</f>
        <v>60</v>
      </c>
      <c r="DP40" s="69"/>
    </row>
    <row r="41" spans="1:120" ht="12.75" customHeight="1" x14ac:dyDescent="0.25">
      <c r="A41" s="148"/>
      <c r="B41" s="176"/>
      <c r="C41" s="139"/>
      <c r="D41" s="133"/>
      <c r="E41" s="133"/>
      <c r="F41" s="131"/>
      <c r="G41" s="131"/>
      <c r="H41" s="131"/>
      <c r="I41" s="102" t="s">
        <v>41</v>
      </c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142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27">
        <v>2</v>
      </c>
      <c r="CZ41" s="30"/>
      <c r="DA41" s="30"/>
      <c r="DB41" s="30"/>
      <c r="DC41" s="30"/>
      <c r="DD41" s="27">
        <v>1</v>
      </c>
      <c r="DE41" s="30"/>
      <c r="DF41" s="30"/>
      <c r="DG41" s="30"/>
      <c r="DH41" s="27">
        <v>1</v>
      </c>
      <c r="DI41" s="57"/>
      <c r="DJ41" s="30"/>
      <c r="DK41" s="30"/>
      <c r="DL41" s="30"/>
      <c r="DM41" s="30"/>
      <c r="DN41" s="30"/>
      <c r="DO41" s="13">
        <f>SUM(J41:DN41)</f>
        <v>4</v>
      </c>
      <c r="DP41" s="69"/>
    </row>
    <row r="42" spans="1:120" ht="18.75" customHeight="1" x14ac:dyDescent="0.25">
      <c r="A42" s="145"/>
      <c r="B42" s="177"/>
      <c r="C42" s="140"/>
      <c r="D42" s="134"/>
      <c r="E42" s="134"/>
      <c r="F42" s="131"/>
      <c r="G42" s="131"/>
      <c r="H42" s="131"/>
      <c r="I42" s="102" t="s">
        <v>43</v>
      </c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58"/>
      <c r="AT42" s="58"/>
      <c r="AU42" s="58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2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6"/>
      <c r="CF42" s="16"/>
      <c r="CG42" s="16"/>
      <c r="CH42" s="16"/>
      <c r="CI42" s="16"/>
      <c r="CJ42" s="16"/>
      <c r="CK42" s="16"/>
      <c r="CL42" s="32"/>
      <c r="CM42" s="16"/>
      <c r="CN42" s="16"/>
      <c r="CO42" s="16"/>
      <c r="CP42" s="16"/>
      <c r="CQ42" s="16"/>
      <c r="CR42" s="15"/>
      <c r="CS42" s="15"/>
      <c r="CT42" s="15"/>
      <c r="CU42" s="15"/>
      <c r="CV42" s="15">
        <v>1</v>
      </c>
      <c r="CW42" s="15">
        <v>1</v>
      </c>
      <c r="CX42" s="15">
        <v>1</v>
      </c>
      <c r="CY42" s="15"/>
      <c r="CZ42" s="15">
        <v>1</v>
      </c>
      <c r="DA42" s="15">
        <v>1</v>
      </c>
      <c r="DB42" s="15">
        <v>1</v>
      </c>
      <c r="DC42" s="15">
        <v>1</v>
      </c>
      <c r="DD42" s="15"/>
      <c r="DE42" s="15">
        <v>1</v>
      </c>
      <c r="DF42" s="15">
        <v>1</v>
      </c>
      <c r="DG42" s="15">
        <v>1</v>
      </c>
      <c r="DH42" s="15">
        <v>1</v>
      </c>
      <c r="DI42" s="15"/>
      <c r="DJ42" s="15"/>
      <c r="DK42" s="15"/>
      <c r="DL42" s="15"/>
      <c r="DM42" s="15"/>
      <c r="DN42" s="15"/>
      <c r="DO42" s="13">
        <f>SUM(CR42:DN42)</f>
        <v>11</v>
      </c>
    </row>
    <row r="43" spans="1:120" ht="12.75" customHeight="1" x14ac:dyDescent="0.25">
      <c r="A43" s="144">
        <v>15</v>
      </c>
      <c r="B43" s="159" t="s">
        <v>14</v>
      </c>
      <c r="C43" s="138">
        <v>5</v>
      </c>
      <c r="D43" s="132">
        <v>116</v>
      </c>
      <c r="E43" s="132">
        <v>125</v>
      </c>
      <c r="F43" s="131">
        <v>112</v>
      </c>
      <c r="G43" s="131">
        <v>9</v>
      </c>
      <c r="H43" s="131">
        <v>4</v>
      </c>
      <c r="I43" s="102" t="s">
        <v>42</v>
      </c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>
        <v>3</v>
      </c>
      <c r="BA43" s="78">
        <v>3</v>
      </c>
      <c r="BB43" s="78">
        <v>3</v>
      </c>
      <c r="BC43" s="78">
        <v>3</v>
      </c>
      <c r="BD43" s="78">
        <v>3</v>
      </c>
      <c r="BE43" s="78">
        <v>3</v>
      </c>
      <c r="BF43" s="78">
        <v>3</v>
      </c>
      <c r="BG43" s="78">
        <v>3</v>
      </c>
      <c r="BH43" s="78">
        <v>3</v>
      </c>
      <c r="BI43" s="34">
        <v>2</v>
      </c>
      <c r="BJ43" s="78">
        <v>3</v>
      </c>
      <c r="BK43" s="142"/>
      <c r="BL43" s="78">
        <v>3</v>
      </c>
      <c r="BM43" s="78">
        <v>3</v>
      </c>
      <c r="BN43" s="78">
        <v>3</v>
      </c>
      <c r="BO43" s="78">
        <v>3</v>
      </c>
      <c r="BP43" s="78">
        <v>3</v>
      </c>
      <c r="BQ43" s="78">
        <v>3</v>
      </c>
      <c r="BR43" s="34">
        <v>2</v>
      </c>
      <c r="BS43" s="78">
        <v>3</v>
      </c>
      <c r="BT43" s="78">
        <v>3</v>
      </c>
      <c r="BU43" s="78">
        <v>3</v>
      </c>
      <c r="BV43" s="78">
        <v>3</v>
      </c>
      <c r="BW43" s="78">
        <v>3</v>
      </c>
      <c r="BX43" s="78">
        <v>3</v>
      </c>
      <c r="BY43" s="78">
        <v>3</v>
      </c>
      <c r="BZ43" s="78">
        <v>3</v>
      </c>
      <c r="CA43" s="78">
        <v>3</v>
      </c>
      <c r="CB43" s="78">
        <v>3</v>
      </c>
      <c r="CC43" s="78">
        <v>2</v>
      </c>
      <c r="CD43" s="78">
        <v>2</v>
      </c>
      <c r="CE43" s="78">
        <v>2</v>
      </c>
      <c r="CF43" s="78">
        <v>2</v>
      </c>
      <c r="CG43" s="78">
        <v>2</v>
      </c>
      <c r="CH43" s="78">
        <v>2</v>
      </c>
      <c r="CI43" s="78">
        <v>2</v>
      </c>
      <c r="CJ43" s="78">
        <v>2</v>
      </c>
      <c r="CK43" s="78">
        <v>2</v>
      </c>
      <c r="CL43" s="78">
        <v>2</v>
      </c>
      <c r="CM43" s="34">
        <v>1</v>
      </c>
      <c r="CN43" s="78">
        <v>2</v>
      </c>
      <c r="CO43" s="78">
        <v>2</v>
      </c>
      <c r="CP43" s="78">
        <v>2</v>
      </c>
      <c r="CQ43" s="78">
        <v>2</v>
      </c>
      <c r="CR43" s="34">
        <v>1</v>
      </c>
      <c r="CS43" s="78"/>
      <c r="CT43" s="78"/>
      <c r="CU43" s="78"/>
      <c r="CV43" s="78"/>
      <c r="CW43" s="78"/>
      <c r="CX43" s="78"/>
      <c r="CY43" s="78"/>
      <c r="CZ43" s="78"/>
      <c r="DA43" s="78"/>
      <c r="DB43" s="78"/>
      <c r="DC43" s="78"/>
      <c r="DD43" s="78"/>
      <c r="DE43" s="78"/>
      <c r="DF43" s="78"/>
      <c r="DG43" s="78"/>
      <c r="DH43" s="78"/>
      <c r="DI43" s="78"/>
      <c r="DJ43" s="78"/>
      <c r="DK43" s="78"/>
      <c r="DL43" s="78"/>
      <c r="DM43" s="78"/>
      <c r="DN43" s="78"/>
      <c r="DO43" s="13">
        <f>SUM(AZ43:DN43)</f>
        <v>112</v>
      </c>
      <c r="DP43" s="69"/>
    </row>
    <row r="44" spans="1:120" ht="12.75" customHeight="1" x14ac:dyDescent="0.25">
      <c r="A44" s="148"/>
      <c r="B44" s="160"/>
      <c r="C44" s="139"/>
      <c r="D44" s="133"/>
      <c r="E44" s="133"/>
      <c r="F44" s="131"/>
      <c r="G44" s="131"/>
      <c r="H44" s="131"/>
      <c r="I44" s="102" t="s">
        <v>41</v>
      </c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  <c r="AI44" s="78"/>
      <c r="AJ44" s="78"/>
      <c r="AK44" s="78"/>
      <c r="AL44" s="78"/>
      <c r="AM44" s="78"/>
      <c r="AN44" s="78"/>
      <c r="AO44" s="78"/>
      <c r="AP44" s="78"/>
      <c r="AQ44" s="78"/>
      <c r="AR44" s="78"/>
      <c r="AS44" s="78"/>
      <c r="AT44" s="78"/>
      <c r="AU44" s="78"/>
      <c r="AV44" s="78"/>
      <c r="AW44" s="78"/>
      <c r="AX44" s="78"/>
      <c r="AY44" s="78"/>
      <c r="AZ44" s="78"/>
      <c r="BA44" s="78"/>
      <c r="BB44" s="78"/>
      <c r="BC44" s="78"/>
      <c r="BD44" s="78"/>
      <c r="BE44" s="78"/>
      <c r="BF44" s="78"/>
      <c r="BG44" s="78"/>
      <c r="BH44" s="78"/>
      <c r="BI44" s="27">
        <v>1</v>
      </c>
      <c r="BJ44" s="78"/>
      <c r="BK44" s="142"/>
      <c r="BL44" s="78"/>
      <c r="BM44" s="78"/>
      <c r="BN44" s="78"/>
      <c r="BO44" s="78"/>
      <c r="BP44" s="78"/>
      <c r="BQ44" s="78"/>
      <c r="BR44" s="27">
        <v>1</v>
      </c>
      <c r="BS44" s="78"/>
      <c r="BT44" s="78"/>
      <c r="BU44" s="78"/>
      <c r="BV44" s="78"/>
      <c r="BW44" s="78"/>
      <c r="BX44" s="78"/>
      <c r="BY44" s="78"/>
      <c r="BZ44" s="78"/>
      <c r="CA44" s="78"/>
      <c r="CB44" s="78"/>
      <c r="CC44" s="78"/>
      <c r="CD44" s="78"/>
      <c r="CE44" s="78"/>
      <c r="CF44" s="78"/>
      <c r="CG44" s="78"/>
      <c r="CH44" s="78"/>
      <c r="CI44" s="78"/>
      <c r="CJ44" s="78"/>
      <c r="CK44" s="78"/>
      <c r="CL44" s="78"/>
      <c r="CM44" s="27">
        <v>1</v>
      </c>
      <c r="CN44" s="78"/>
      <c r="CO44" s="78"/>
      <c r="CP44" s="78"/>
      <c r="CQ44" s="78"/>
      <c r="CR44" s="27">
        <v>1</v>
      </c>
      <c r="CS44" s="78"/>
      <c r="CT44" s="78"/>
      <c r="CU44" s="78"/>
      <c r="CV44" s="78"/>
      <c r="CW44" s="78"/>
      <c r="CX44" s="78"/>
      <c r="CY44" s="78"/>
      <c r="CZ44" s="78"/>
      <c r="DA44" s="78"/>
      <c r="DB44" s="78"/>
      <c r="DC44" s="78"/>
      <c r="DD44" s="78"/>
      <c r="DE44" s="78"/>
      <c r="DF44" s="78"/>
      <c r="DG44" s="78"/>
      <c r="DH44" s="78"/>
      <c r="DI44" s="78"/>
      <c r="DJ44" s="78"/>
      <c r="DK44" s="78"/>
      <c r="DL44" s="78"/>
      <c r="DM44" s="78"/>
      <c r="DN44" s="78"/>
      <c r="DO44" s="13">
        <f>SUM(J44:DN44)</f>
        <v>4</v>
      </c>
      <c r="DP44" s="69"/>
    </row>
    <row r="45" spans="1:120" ht="12.75" customHeight="1" x14ac:dyDescent="0.25">
      <c r="A45" s="145"/>
      <c r="B45" s="161"/>
      <c r="C45" s="140"/>
      <c r="D45" s="134"/>
      <c r="E45" s="134"/>
      <c r="F45" s="131"/>
      <c r="G45" s="131"/>
      <c r="H45" s="131"/>
      <c r="I45" s="102" t="s">
        <v>43</v>
      </c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58"/>
      <c r="AT45" s="58"/>
      <c r="AU45" s="58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>
        <v>1</v>
      </c>
      <c r="BG45" s="14">
        <v>1</v>
      </c>
      <c r="BH45" s="14">
        <v>1</v>
      </c>
      <c r="BI45" s="14"/>
      <c r="BJ45" s="14"/>
      <c r="BK45" s="142"/>
      <c r="BL45" s="14"/>
      <c r="BM45" s="14"/>
      <c r="BN45" s="14"/>
      <c r="BO45" s="14"/>
      <c r="BP45" s="14">
        <v>1</v>
      </c>
      <c r="BQ45" s="14">
        <v>1</v>
      </c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6"/>
      <c r="CF45" s="16"/>
      <c r="CG45" s="16"/>
      <c r="CH45" s="16"/>
      <c r="CI45" s="16"/>
      <c r="CJ45" s="15">
        <v>1</v>
      </c>
      <c r="CK45" s="15">
        <v>1</v>
      </c>
      <c r="CL45" s="15">
        <v>1</v>
      </c>
      <c r="CM45" s="15"/>
      <c r="CN45" s="15"/>
      <c r="CO45" s="15"/>
      <c r="CP45" s="15"/>
      <c r="CQ45" s="15">
        <v>1</v>
      </c>
      <c r="CR45" s="15"/>
      <c r="CS45" s="15"/>
      <c r="CT45" s="15"/>
      <c r="CU45" s="15"/>
      <c r="CV45" s="33"/>
      <c r="CW45" s="33"/>
      <c r="CX45" s="33"/>
      <c r="CY45" s="33"/>
      <c r="CZ45" s="33"/>
      <c r="DA45" s="33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3">
        <f>SUM(AZ45:DN45)</f>
        <v>9</v>
      </c>
    </row>
    <row r="46" spans="1:120" ht="12.75" customHeight="1" x14ac:dyDescent="0.25">
      <c r="A46" s="144">
        <v>16</v>
      </c>
      <c r="B46" s="166" t="s">
        <v>12</v>
      </c>
      <c r="C46" s="138">
        <v>4</v>
      </c>
      <c r="D46" s="132">
        <v>50</v>
      </c>
      <c r="E46" s="132">
        <v>100</v>
      </c>
      <c r="F46" s="131">
        <v>47</v>
      </c>
      <c r="G46" s="131">
        <v>50</v>
      </c>
      <c r="H46" s="131">
        <v>3</v>
      </c>
      <c r="I46" s="102" t="s">
        <v>42</v>
      </c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  <c r="AH46" s="82"/>
      <c r="AI46" s="82"/>
      <c r="AJ46" s="82"/>
      <c r="AK46" s="82"/>
      <c r="AL46" s="82"/>
      <c r="AM46" s="82"/>
      <c r="AN46" s="82"/>
      <c r="AO46" s="82"/>
      <c r="AP46" s="82"/>
      <c r="AQ46" s="82"/>
      <c r="AR46" s="82"/>
      <c r="AS46" s="82"/>
      <c r="AT46" s="82"/>
      <c r="AU46" s="82"/>
      <c r="AV46" s="82"/>
      <c r="AW46" s="82"/>
      <c r="AX46" s="82"/>
      <c r="AY46" s="82"/>
      <c r="AZ46" s="82"/>
      <c r="BA46" s="82"/>
      <c r="BB46" s="82"/>
      <c r="BC46" s="82"/>
      <c r="BD46" s="82"/>
      <c r="BE46" s="82"/>
      <c r="BF46" s="82"/>
      <c r="BG46" s="82"/>
      <c r="BH46" s="82"/>
      <c r="BI46" s="82"/>
      <c r="BJ46" s="82"/>
      <c r="BK46" s="142"/>
      <c r="BL46" s="82"/>
      <c r="BM46" s="82"/>
      <c r="BN46" s="82"/>
      <c r="BO46" s="82"/>
      <c r="BP46" s="82"/>
      <c r="BQ46" s="82"/>
      <c r="BR46" s="82"/>
      <c r="BS46" s="82"/>
      <c r="BT46" s="82"/>
      <c r="BU46" s="82"/>
      <c r="BV46" s="82"/>
      <c r="BW46" s="82"/>
      <c r="BX46" s="82"/>
      <c r="BY46" s="82"/>
      <c r="BZ46" s="82"/>
      <c r="CA46" s="82"/>
      <c r="CB46" s="82"/>
      <c r="CC46" s="82"/>
      <c r="CD46" s="82"/>
      <c r="CE46" s="83"/>
      <c r="CF46" s="83"/>
      <c r="CG46" s="83"/>
      <c r="CH46" s="83"/>
      <c r="CI46" s="83"/>
      <c r="CJ46" s="83"/>
      <c r="CK46" s="83"/>
      <c r="CL46" s="83"/>
      <c r="CM46" s="83"/>
      <c r="CN46" s="83"/>
      <c r="CO46" s="83"/>
      <c r="CP46" s="83"/>
      <c r="CQ46" s="83"/>
      <c r="CR46" s="83"/>
      <c r="CS46" s="83"/>
      <c r="CT46" s="83"/>
      <c r="CU46" s="83"/>
      <c r="CV46" s="83"/>
      <c r="CW46" s="83"/>
      <c r="CX46" s="83"/>
      <c r="CY46" s="83"/>
      <c r="CZ46" s="83"/>
      <c r="DA46" s="83"/>
      <c r="DB46" s="83"/>
      <c r="DC46" s="83"/>
      <c r="DD46" s="83"/>
      <c r="DE46" s="83"/>
      <c r="DF46" s="83"/>
      <c r="DG46" s="83"/>
      <c r="DH46" s="83"/>
      <c r="DI46" s="83"/>
      <c r="DJ46" s="83"/>
      <c r="DK46" s="86">
        <v>15</v>
      </c>
      <c r="DL46" s="86">
        <v>15</v>
      </c>
      <c r="DM46" s="86">
        <v>15</v>
      </c>
      <c r="DN46" s="36">
        <v>2</v>
      </c>
      <c r="DO46" s="13">
        <f>SUM(DK46:DN46)</f>
        <v>47</v>
      </c>
    </row>
    <row r="47" spans="1:120" ht="12.75" customHeight="1" x14ac:dyDescent="0.25">
      <c r="A47" s="148"/>
      <c r="B47" s="167"/>
      <c r="C47" s="139"/>
      <c r="D47" s="133"/>
      <c r="E47" s="133"/>
      <c r="F47" s="131"/>
      <c r="G47" s="131"/>
      <c r="H47" s="131"/>
      <c r="I47" s="102" t="s">
        <v>41</v>
      </c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  <c r="AH47" s="82"/>
      <c r="AI47" s="82"/>
      <c r="AJ47" s="82"/>
      <c r="AK47" s="82"/>
      <c r="AL47" s="82"/>
      <c r="AM47" s="82"/>
      <c r="AN47" s="82"/>
      <c r="AO47" s="82"/>
      <c r="AP47" s="82"/>
      <c r="AQ47" s="82"/>
      <c r="AR47" s="82"/>
      <c r="AS47" s="82"/>
      <c r="AT47" s="82"/>
      <c r="AU47" s="82"/>
      <c r="AV47" s="82"/>
      <c r="AW47" s="82"/>
      <c r="AX47" s="82"/>
      <c r="AY47" s="82"/>
      <c r="AZ47" s="82"/>
      <c r="BA47" s="82"/>
      <c r="BB47" s="82"/>
      <c r="BC47" s="82"/>
      <c r="BD47" s="82"/>
      <c r="BE47" s="82"/>
      <c r="BF47" s="82"/>
      <c r="BG47" s="82"/>
      <c r="BH47" s="82"/>
      <c r="BI47" s="82"/>
      <c r="BJ47" s="82"/>
      <c r="BK47" s="142"/>
      <c r="BL47" s="82"/>
      <c r="BM47" s="82"/>
      <c r="BN47" s="82"/>
      <c r="BO47" s="82"/>
      <c r="BP47" s="82"/>
      <c r="BQ47" s="82"/>
      <c r="BR47" s="82"/>
      <c r="BS47" s="82"/>
      <c r="BT47" s="82"/>
      <c r="BU47" s="82"/>
      <c r="BV47" s="82"/>
      <c r="BW47" s="82"/>
      <c r="BX47" s="82"/>
      <c r="BY47" s="82"/>
      <c r="BZ47" s="82"/>
      <c r="CA47" s="82"/>
      <c r="CB47" s="82"/>
      <c r="CC47" s="82"/>
      <c r="CD47" s="82"/>
      <c r="CE47" s="83"/>
      <c r="CF47" s="83"/>
      <c r="CG47" s="83"/>
      <c r="CH47" s="83"/>
      <c r="CI47" s="83"/>
      <c r="CJ47" s="83"/>
      <c r="CK47" s="83"/>
      <c r="CL47" s="83"/>
      <c r="CM47" s="83"/>
      <c r="CN47" s="83"/>
      <c r="CO47" s="83"/>
      <c r="CP47" s="83"/>
      <c r="CQ47" s="83"/>
      <c r="CR47" s="83"/>
      <c r="CS47" s="83"/>
      <c r="CT47" s="83"/>
      <c r="CU47" s="83"/>
      <c r="CV47" s="83"/>
      <c r="CW47" s="83"/>
      <c r="CX47" s="83"/>
      <c r="CY47" s="83"/>
      <c r="CZ47" s="83"/>
      <c r="DA47" s="83"/>
      <c r="DB47" s="83"/>
      <c r="DC47" s="83"/>
      <c r="DD47" s="83"/>
      <c r="DE47" s="83"/>
      <c r="DF47" s="83"/>
      <c r="DG47" s="83"/>
      <c r="DH47" s="83"/>
      <c r="DI47" s="83"/>
      <c r="DJ47" s="83"/>
      <c r="DK47" s="83"/>
      <c r="DL47" s="83"/>
      <c r="DM47" s="83"/>
      <c r="DN47" s="55">
        <v>3</v>
      </c>
      <c r="DO47" s="13">
        <f>SUM(DK47:DN47)</f>
        <v>3</v>
      </c>
    </row>
    <row r="48" spans="1:120" ht="12.75" customHeight="1" x14ac:dyDescent="0.25">
      <c r="A48" s="145"/>
      <c r="B48" s="168"/>
      <c r="C48" s="140"/>
      <c r="D48" s="134"/>
      <c r="E48" s="134"/>
      <c r="F48" s="131"/>
      <c r="G48" s="131"/>
      <c r="H48" s="131"/>
      <c r="I48" s="102" t="s">
        <v>43</v>
      </c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58"/>
      <c r="AT48" s="58"/>
      <c r="AU48" s="58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2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>
        <v>10</v>
      </c>
      <c r="DL48" s="15">
        <v>15</v>
      </c>
      <c r="DM48" s="15">
        <v>15</v>
      </c>
      <c r="DN48" s="15">
        <v>10</v>
      </c>
      <c r="DO48" s="13">
        <f>SUM(DK48:DN48)</f>
        <v>50</v>
      </c>
    </row>
    <row r="49" spans="1:120" ht="17.25" customHeight="1" x14ac:dyDescent="0.25">
      <c r="A49" s="73"/>
      <c r="B49" s="81"/>
      <c r="C49" s="72"/>
      <c r="D49" s="71"/>
      <c r="E49" s="71"/>
      <c r="F49" s="76"/>
      <c r="G49" s="76"/>
      <c r="H49" s="76"/>
      <c r="I49" s="76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  <c r="AW49" s="70"/>
      <c r="AX49" s="70"/>
      <c r="AY49" s="70"/>
      <c r="AZ49" s="70"/>
      <c r="BA49" s="70"/>
      <c r="BB49" s="70"/>
      <c r="BC49" s="70"/>
      <c r="BD49" s="70"/>
      <c r="BE49" s="70"/>
      <c r="BF49" s="70"/>
      <c r="BG49" s="70"/>
      <c r="BH49" s="70"/>
      <c r="BI49" s="70"/>
      <c r="BJ49" s="70"/>
      <c r="BK49" s="143"/>
      <c r="BL49" s="70"/>
      <c r="BM49" s="70"/>
      <c r="BN49" s="70"/>
      <c r="BO49" s="70"/>
      <c r="BP49" s="70"/>
      <c r="BQ49" s="70"/>
      <c r="BR49" s="70"/>
      <c r="BS49" s="70"/>
      <c r="BT49" s="70"/>
      <c r="BU49" s="70"/>
      <c r="BV49" s="70"/>
      <c r="BW49" s="70"/>
      <c r="BX49" s="70"/>
      <c r="BY49" s="70"/>
      <c r="BZ49" s="70"/>
      <c r="CA49" s="70"/>
      <c r="CB49" s="70"/>
      <c r="CC49" s="70"/>
      <c r="CD49" s="70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77"/>
      <c r="CQ49" s="16"/>
      <c r="CR49" s="16"/>
      <c r="CS49" s="16"/>
      <c r="CT49" s="16"/>
      <c r="CU49" s="16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65">
        <f>SUM(DO4:DO48)</f>
        <v>2850</v>
      </c>
    </row>
    <row r="50" spans="1:120" ht="19.5" customHeight="1" x14ac:dyDescent="0.25">
      <c r="A50" s="1"/>
      <c r="B50" s="84" t="s">
        <v>26</v>
      </c>
      <c r="C50" s="108">
        <f t="shared" ref="C50:H50" si="3">SUM(C4:C48)</f>
        <v>114</v>
      </c>
      <c r="D50" s="108">
        <f>SUM(D4:D48)</f>
        <v>2672</v>
      </c>
      <c r="E50" s="108">
        <f t="shared" si="3"/>
        <v>2850</v>
      </c>
      <c r="F50" s="109">
        <f t="shared" si="3"/>
        <v>1105</v>
      </c>
      <c r="G50" s="109">
        <f t="shared" si="3"/>
        <v>178</v>
      </c>
      <c r="H50" s="109">
        <f t="shared" si="3"/>
        <v>67</v>
      </c>
      <c r="I50" s="109"/>
      <c r="J50" s="88">
        <f t="shared" ref="J50:AO50" si="4">SUM(J4:J48)</f>
        <v>24</v>
      </c>
      <c r="K50" s="88">
        <f t="shared" si="4"/>
        <v>24</v>
      </c>
      <c r="L50" s="88">
        <f t="shared" si="4"/>
        <v>24</v>
      </c>
      <c r="M50" s="88">
        <f t="shared" si="4"/>
        <v>24</v>
      </c>
      <c r="N50" s="88">
        <f t="shared" si="4"/>
        <v>26</v>
      </c>
      <c r="O50" s="88">
        <f t="shared" si="4"/>
        <v>25</v>
      </c>
      <c r="P50" s="88">
        <f t="shared" si="4"/>
        <v>25</v>
      </c>
      <c r="Q50" s="88">
        <f t="shared" si="4"/>
        <v>27</v>
      </c>
      <c r="R50" s="88">
        <f t="shared" si="4"/>
        <v>27</v>
      </c>
      <c r="S50" s="88">
        <f t="shared" si="4"/>
        <v>25</v>
      </c>
      <c r="T50" s="88">
        <f t="shared" si="4"/>
        <v>25</v>
      </c>
      <c r="U50" s="88">
        <f t="shared" si="4"/>
        <v>24</v>
      </c>
      <c r="V50" s="88">
        <f t="shared" si="4"/>
        <v>26</v>
      </c>
      <c r="W50" s="88">
        <f t="shared" si="4"/>
        <v>25</v>
      </c>
      <c r="X50" s="88">
        <f t="shared" si="4"/>
        <v>25</v>
      </c>
      <c r="Y50" s="88">
        <f t="shared" si="4"/>
        <v>25</v>
      </c>
      <c r="Z50" s="88">
        <f t="shared" si="4"/>
        <v>26</v>
      </c>
      <c r="AA50" s="88">
        <f t="shared" si="4"/>
        <v>24</v>
      </c>
      <c r="AB50" s="88">
        <f t="shared" si="4"/>
        <v>24</v>
      </c>
      <c r="AC50" s="88">
        <f t="shared" si="4"/>
        <v>26</v>
      </c>
      <c r="AD50" s="88">
        <f t="shared" si="4"/>
        <v>24</v>
      </c>
      <c r="AE50" s="88">
        <f t="shared" si="4"/>
        <v>25</v>
      </c>
      <c r="AF50" s="88">
        <f t="shared" si="4"/>
        <v>25</v>
      </c>
      <c r="AG50" s="88">
        <f t="shared" si="4"/>
        <v>25</v>
      </c>
      <c r="AH50" s="88">
        <f t="shared" si="4"/>
        <v>25</v>
      </c>
      <c r="AI50" s="88">
        <f t="shared" si="4"/>
        <v>25</v>
      </c>
      <c r="AJ50" s="88">
        <f t="shared" si="4"/>
        <v>27</v>
      </c>
      <c r="AK50" s="88">
        <f t="shared" si="4"/>
        <v>27</v>
      </c>
      <c r="AL50" s="88">
        <f t="shared" si="4"/>
        <v>26</v>
      </c>
      <c r="AM50" s="88">
        <f t="shared" si="4"/>
        <v>25</v>
      </c>
      <c r="AN50" s="88">
        <f t="shared" si="4"/>
        <v>25</v>
      </c>
      <c r="AO50" s="88">
        <f t="shared" si="4"/>
        <v>26</v>
      </c>
      <c r="AP50" s="88">
        <f t="shared" ref="AP50:BV50" si="5">SUM(AP4:AP48)</f>
        <v>25</v>
      </c>
      <c r="AQ50" s="88">
        <f t="shared" si="5"/>
        <v>24</v>
      </c>
      <c r="AR50" s="88">
        <f t="shared" si="5"/>
        <v>26</v>
      </c>
      <c r="AS50" s="89">
        <f t="shared" si="5"/>
        <v>26</v>
      </c>
      <c r="AT50" s="89">
        <f t="shared" si="5"/>
        <v>26</v>
      </c>
      <c r="AU50" s="89">
        <f t="shared" si="5"/>
        <v>28</v>
      </c>
      <c r="AV50" s="88">
        <f t="shared" si="5"/>
        <v>27</v>
      </c>
      <c r="AW50" s="88">
        <f t="shared" si="5"/>
        <v>27</v>
      </c>
      <c r="AX50" s="88">
        <f t="shared" si="5"/>
        <v>26</v>
      </c>
      <c r="AY50" s="88">
        <f t="shared" si="5"/>
        <v>27</v>
      </c>
      <c r="AZ50" s="88">
        <f t="shared" si="5"/>
        <v>30</v>
      </c>
      <c r="BA50" s="88">
        <f t="shared" si="5"/>
        <v>25</v>
      </c>
      <c r="BB50" s="88">
        <f t="shared" si="5"/>
        <v>25</v>
      </c>
      <c r="BC50" s="88">
        <f t="shared" si="5"/>
        <v>26</v>
      </c>
      <c r="BD50" s="88">
        <f t="shared" si="5"/>
        <v>26</v>
      </c>
      <c r="BE50" s="88">
        <f t="shared" si="5"/>
        <v>25</v>
      </c>
      <c r="BF50" s="88">
        <f t="shared" si="5"/>
        <v>26</v>
      </c>
      <c r="BG50" s="88">
        <f t="shared" si="5"/>
        <v>27</v>
      </c>
      <c r="BH50" s="88">
        <f t="shared" si="5"/>
        <v>28</v>
      </c>
      <c r="BI50" s="88">
        <f t="shared" si="5"/>
        <v>27</v>
      </c>
      <c r="BJ50" s="88">
        <f t="shared" si="5"/>
        <v>25</v>
      </c>
      <c r="BK50" s="88"/>
      <c r="BL50" s="88">
        <f t="shared" si="5"/>
        <v>25</v>
      </c>
      <c r="BM50" s="88">
        <f t="shared" si="5"/>
        <v>26</v>
      </c>
      <c r="BN50" s="88">
        <f t="shared" si="5"/>
        <v>26</v>
      </c>
      <c r="BO50" s="88">
        <f t="shared" si="5"/>
        <v>27</v>
      </c>
      <c r="BP50" s="88">
        <f t="shared" si="5"/>
        <v>26</v>
      </c>
      <c r="BQ50" s="88">
        <f t="shared" si="5"/>
        <v>27</v>
      </c>
      <c r="BR50" s="88">
        <f t="shared" si="5"/>
        <v>25</v>
      </c>
      <c r="BS50" s="88">
        <f t="shared" si="5"/>
        <v>25</v>
      </c>
      <c r="BT50" s="88">
        <f t="shared" si="5"/>
        <v>27</v>
      </c>
      <c r="BU50" s="88">
        <f t="shared" si="5"/>
        <v>27</v>
      </c>
      <c r="BV50" s="88">
        <f t="shared" si="5"/>
        <v>25</v>
      </c>
      <c r="BW50" s="88">
        <f t="shared" ref="BW50:DB50" si="6">SUM(BW4:BW48)</f>
        <v>26</v>
      </c>
      <c r="BX50" s="88">
        <f t="shared" si="6"/>
        <v>25</v>
      </c>
      <c r="BY50" s="88">
        <f t="shared" si="6"/>
        <v>24</v>
      </c>
      <c r="BZ50" s="88">
        <f t="shared" si="6"/>
        <v>26</v>
      </c>
      <c r="CA50" s="88">
        <f t="shared" si="6"/>
        <v>25</v>
      </c>
      <c r="CB50" s="88">
        <f t="shared" si="6"/>
        <v>26</v>
      </c>
      <c r="CC50" s="88">
        <f t="shared" si="6"/>
        <v>26</v>
      </c>
      <c r="CD50" s="88">
        <f t="shared" si="6"/>
        <v>24</v>
      </c>
      <c r="CE50" s="63">
        <f t="shared" si="6"/>
        <v>25</v>
      </c>
      <c r="CF50" s="63">
        <f t="shared" si="6"/>
        <v>25</v>
      </c>
      <c r="CG50" s="63">
        <f t="shared" si="6"/>
        <v>26</v>
      </c>
      <c r="CH50" s="63">
        <f t="shared" si="6"/>
        <v>29</v>
      </c>
      <c r="CI50" s="63">
        <f t="shared" si="6"/>
        <v>30</v>
      </c>
      <c r="CJ50" s="63">
        <f t="shared" si="6"/>
        <v>31</v>
      </c>
      <c r="CK50" s="63">
        <f t="shared" si="6"/>
        <v>31</v>
      </c>
      <c r="CL50" s="63">
        <f t="shared" si="6"/>
        <v>32</v>
      </c>
      <c r="CM50" s="63">
        <f t="shared" si="6"/>
        <v>31</v>
      </c>
      <c r="CN50" s="63">
        <f t="shared" si="6"/>
        <v>29</v>
      </c>
      <c r="CO50" s="63">
        <f t="shared" si="6"/>
        <v>30</v>
      </c>
      <c r="CP50" s="67">
        <f t="shared" si="6"/>
        <v>29</v>
      </c>
      <c r="CQ50" s="63">
        <f t="shared" si="6"/>
        <v>29</v>
      </c>
      <c r="CR50" s="63">
        <f t="shared" si="6"/>
        <v>30</v>
      </c>
      <c r="CS50" s="63">
        <f t="shared" si="6"/>
        <v>27</v>
      </c>
      <c r="CT50" s="63">
        <f t="shared" si="6"/>
        <v>26</v>
      </c>
      <c r="CU50" s="63">
        <f t="shared" si="6"/>
        <v>27</v>
      </c>
      <c r="CV50" s="63">
        <f t="shared" si="6"/>
        <v>28</v>
      </c>
      <c r="CW50" s="63">
        <f t="shared" si="6"/>
        <v>28</v>
      </c>
      <c r="CX50" s="68">
        <f t="shared" si="6"/>
        <v>28</v>
      </c>
      <c r="CY50" s="68">
        <f t="shared" si="6"/>
        <v>27</v>
      </c>
      <c r="CZ50" s="63">
        <f t="shared" si="6"/>
        <v>28</v>
      </c>
      <c r="DA50" s="63">
        <f t="shared" si="6"/>
        <v>29</v>
      </c>
      <c r="DB50" s="63">
        <f t="shared" si="6"/>
        <v>28</v>
      </c>
      <c r="DC50" s="63">
        <f t="shared" ref="DC50:DN50" si="7">SUM(DC4:DC48)</f>
        <v>28</v>
      </c>
      <c r="DD50" s="63">
        <f t="shared" si="7"/>
        <v>26</v>
      </c>
      <c r="DE50" s="63">
        <f t="shared" si="7"/>
        <v>31</v>
      </c>
      <c r="DF50" s="63">
        <f t="shared" si="7"/>
        <v>32</v>
      </c>
      <c r="DG50" s="63">
        <f t="shared" si="7"/>
        <v>33</v>
      </c>
      <c r="DH50" s="63">
        <f t="shared" si="7"/>
        <v>33</v>
      </c>
      <c r="DI50" s="63">
        <f t="shared" si="7"/>
        <v>19</v>
      </c>
      <c r="DJ50" s="63">
        <f t="shared" si="7"/>
        <v>19</v>
      </c>
      <c r="DK50" s="63">
        <f t="shared" si="7"/>
        <v>25</v>
      </c>
      <c r="DL50" s="63">
        <f t="shared" si="7"/>
        <v>30</v>
      </c>
      <c r="DM50" s="63">
        <f t="shared" si="7"/>
        <v>30</v>
      </c>
      <c r="DN50" s="63">
        <f t="shared" si="7"/>
        <v>15</v>
      </c>
      <c r="DO50" s="65"/>
    </row>
    <row r="51" spans="1:120" ht="18" customHeight="1" x14ac:dyDescent="0.25">
      <c r="A51" s="1"/>
      <c r="B51" s="37"/>
      <c r="C51" s="38"/>
      <c r="D51" s="38"/>
      <c r="E51" s="39"/>
      <c r="F51" s="121" t="s">
        <v>0</v>
      </c>
      <c r="G51" s="121"/>
      <c r="H51" s="121"/>
      <c r="I51" s="117"/>
      <c r="J51" s="101">
        <v>1</v>
      </c>
      <c r="K51" s="101">
        <v>2</v>
      </c>
      <c r="L51" s="101">
        <v>3</v>
      </c>
      <c r="M51" s="101">
        <v>4</v>
      </c>
      <c r="N51" s="101">
        <v>5</v>
      </c>
      <c r="O51" s="101">
        <v>6</v>
      </c>
      <c r="P51" s="101">
        <v>7</v>
      </c>
      <c r="Q51" s="101">
        <v>8</v>
      </c>
      <c r="R51" s="101">
        <v>9</v>
      </c>
      <c r="S51" s="101">
        <v>10</v>
      </c>
      <c r="T51" s="101">
        <v>11</v>
      </c>
      <c r="U51" s="101">
        <v>12</v>
      </c>
      <c r="V51" s="101">
        <v>13</v>
      </c>
      <c r="W51" s="101">
        <v>14</v>
      </c>
      <c r="X51" s="101">
        <v>15</v>
      </c>
      <c r="Y51" s="101">
        <v>16</v>
      </c>
      <c r="Z51" s="101">
        <v>17</v>
      </c>
      <c r="AA51" s="101">
        <v>18</v>
      </c>
      <c r="AB51" s="101">
        <v>19</v>
      </c>
      <c r="AC51" s="101">
        <v>20</v>
      </c>
      <c r="AD51" s="101">
        <v>21</v>
      </c>
      <c r="AE51" s="101">
        <v>22</v>
      </c>
      <c r="AF51" s="101">
        <v>23</v>
      </c>
      <c r="AG51" s="101">
        <v>24</v>
      </c>
      <c r="AH51" s="101">
        <v>25</v>
      </c>
      <c r="AI51" s="101">
        <v>26</v>
      </c>
      <c r="AJ51" s="101">
        <v>27</v>
      </c>
      <c r="AK51" s="101">
        <v>28</v>
      </c>
      <c r="AL51" s="101">
        <v>29</v>
      </c>
      <c r="AM51" s="101">
        <v>30</v>
      </c>
      <c r="AN51" s="101">
        <v>31</v>
      </c>
      <c r="AO51" s="101">
        <v>32</v>
      </c>
      <c r="AP51" s="101">
        <v>33</v>
      </c>
      <c r="AQ51" s="101">
        <v>34</v>
      </c>
      <c r="AR51" s="101">
        <v>35</v>
      </c>
      <c r="AS51" s="115">
        <v>36</v>
      </c>
      <c r="AT51" s="101">
        <v>37</v>
      </c>
      <c r="AU51" s="115">
        <v>38</v>
      </c>
      <c r="AV51" s="101">
        <v>39</v>
      </c>
      <c r="AW51" s="101">
        <v>40</v>
      </c>
      <c r="AX51" s="101">
        <v>41</v>
      </c>
      <c r="AY51" s="101">
        <v>42</v>
      </c>
      <c r="AZ51" s="101">
        <v>43</v>
      </c>
      <c r="BA51" s="101">
        <v>44</v>
      </c>
      <c r="BB51" s="101">
        <v>45</v>
      </c>
      <c r="BC51" s="101">
        <v>46</v>
      </c>
      <c r="BD51" s="101">
        <v>47</v>
      </c>
      <c r="BE51" s="101">
        <v>48</v>
      </c>
      <c r="BF51" s="101">
        <v>49</v>
      </c>
      <c r="BG51" s="101">
        <v>50</v>
      </c>
      <c r="BH51" s="101">
        <v>51</v>
      </c>
      <c r="BI51" s="101">
        <v>52</v>
      </c>
      <c r="BJ51" s="101">
        <v>53</v>
      </c>
      <c r="BK51" s="101">
        <v>54</v>
      </c>
      <c r="BL51" s="101">
        <v>55</v>
      </c>
      <c r="BM51" s="101">
        <v>56</v>
      </c>
      <c r="BN51" s="101">
        <v>57</v>
      </c>
      <c r="BO51" s="101">
        <v>58</v>
      </c>
      <c r="BP51" s="101">
        <v>59</v>
      </c>
      <c r="BQ51" s="101">
        <v>60</v>
      </c>
      <c r="BR51" s="101">
        <v>61</v>
      </c>
      <c r="BS51" s="101">
        <v>62</v>
      </c>
      <c r="BT51" s="101">
        <v>63</v>
      </c>
      <c r="BU51" s="101">
        <v>64</v>
      </c>
      <c r="BV51" s="101">
        <v>65</v>
      </c>
      <c r="BW51" s="101">
        <v>66</v>
      </c>
      <c r="BX51" s="101">
        <v>67</v>
      </c>
      <c r="BY51" s="101">
        <v>68</v>
      </c>
      <c r="BZ51" s="101">
        <v>69</v>
      </c>
      <c r="CA51" s="101">
        <v>70</v>
      </c>
      <c r="CB51" s="101">
        <v>71</v>
      </c>
      <c r="CC51" s="101">
        <v>72</v>
      </c>
      <c r="CD51" s="101">
        <v>73</v>
      </c>
      <c r="CE51" s="101">
        <v>74</v>
      </c>
      <c r="CF51" s="101">
        <v>75</v>
      </c>
      <c r="CG51" s="101">
        <v>76</v>
      </c>
      <c r="CH51" s="101">
        <v>77</v>
      </c>
      <c r="CI51" s="101">
        <v>78</v>
      </c>
      <c r="CJ51" s="101">
        <v>79</v>
      </c>
      <c r="CK51" s="101">
        <v>80</v>
      </c>
      <c r="CL51" s="101">
        <v>81</v>
      </c>
      <c r="CM51" s="101">
        <v>82</v>
      </c>
      <c r="CN51" s="101">
        <v>83</v>
      </c>
      <c r="CO51" s="101">
        <v>84</v>
      </c>
      <c r="CP51" s="101">
        <v>85</v>
      </c>
      <c r="CQ51" s="101">
        <v>86</v>
      </c>
      <c r="CR51" s="101">
        <v>87</v>
      </c>
      <c r="CS51" s="101">
        <v>88</v>
      </c>
      <c r="CT51" s="101">
        <v>89</v>
      </c>
      <c r="CU51" s="101">
        <v>90</v>
      </c>
      <c r="CV51" s="101">
        <v>91</v>
      </c>
      <c r="CW51" s="101">
        <v>92</v>
      </c>
      <c r="CX51" s="101">
        <v>93</v>
      </c>
      <c r="CY51" s="101">
        <v>94</v>
      </c>
      <c r="CZ51" s="101">
        <v>95</v>
      </c>
      <c r="DA51" s="101">
        <v>96</v>
      </c>
      <c r="DB51" s="101">
        <v>97</v>
      </c>
      <c r="DC51" s="101">
        <v>98</v>
      </c>
      <c r="DD51" s="101">
        <v>99</v>
      </c>
      <c r="DE51" s="101">
        <v>100</v>
      </c>
      <c r="DF51" s="101">
        <v>101</v>
      </c>
      <c r="DG51" s="101">
        <v>102</v>
      </c>
      <c r="DH51" s="101">
        <v>103</v>
      </c>
      <c r="DI51" s="101">
        <v>104</v>
      </c>
      <c r="DJ51" s="101">
        <v>105</v>
      </c>
      <c r="DK51" s="101">
        <v>106</v>
      </c>
      <c r="DL51" s="101">
        <v>107</v>
      </c>
      <c r="DM51" s="101">
        <v>108</v>
      </c>
      <c r="DN51" s="101">
        <v>109</v>
      </c>
      <c r="DO51" s="40"/>
      <c r="DP51" s="69"/>
    </row>
    <row r="52" spans="1:120" ht="16.5" customHeight="1" x14ac:dyDescent="0.25">
      <c r="B52" s="41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2"/>
      <c r="BK52" s="42"/>
      <c r="BL52" s="42"/>
      <c r="BM52" s="42"/>
      <c r="BN52" s="42"/>
      <c r="BO52" s="42"/>
      <c r="BP52" s="42"/>
      <c r="BQ52" s="42"/>
      <c r="BR52" s="42"/>
      <c r="BS52" s="42"/>
      <c r="BT52" s="42"/>
      <c r="BU52" s="42"/>
      <c r="BV52" s="42"/>
      <c r="BW52" s="42"/>
      <c r="BX52" s="42"/>
      <c r="BY52" s="42"/>
      <c r="BZ52" s="42"/>
      <c r="CA52" s="42"/>
      <c r="CB52" s="42"/>
      <c r="CC52" s="42"/>
      <c r="CD52" s="42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43"/>
      <c r="CP52" s="43"/>
      <c r="CQ52" s="43"/>
      <c r="CR52" s="6"/>
      <c r="CS52" s="6"/>
      <c r="CT52" s="6"/>
      <c r="CU52" s="6"/>
      <c r="CV52" s="6"/>
      <c r="CW52" s="6"/>
      <c r="CX52" s="6"/>
      <c r="CY52" s="6"/>
      <c r="CZ52" s="6"/>
      <c r="DA52" s="43"/>
      <c r="DB52" s="6"/>
      <c r="DC52" s="6"/>
      <c r="DD52" s="6"/>
      <c r="DE52" s="43"/>
      <c r="DF52" s="43"/>
      <c r="DG52" s="43"/>
      <c r="DH52" s="6"/>
      <c r="DI52" s="6"/>
      <c r="DJ52" s="6"/>
      <c r="DK52" s="6"/>
      <c r="DL52" s="43"/>
      <c r="DM52" s="43"/>
      <c r="DN52" s="43"/>
      <c r="DO52" s="6"/>
      <c r="DP52" s="69"/>
    </row>
    <row r="53" spans="1:120" ht="20.25" customHeight="1" x14ac:dyDescent="0.25">
      <c r="A53" s="64">
        <v>17</v>
      </c>
      <c r="B53" s="59" t="s">
        <v>25</v>
      </c>
      <c r="C53" s="110">
        <v>15</v>
      </c>
      <c r="D53" s="111">
        <v>295</v>
      </c>
      <c r="E53" s="111">
        <v>375</v>
      </c>
      <c r="F53" s="111">
        <v>283</v>
      </c>
      <c r="G53" s="111">
        <v>80</v>
      </c>
      <c r="H53" s="111">
        <v>12</v>
      </c>
      <c r="I53" s="111"/>
      <c r="J53" s="44">
        <v>36</v>
      </c>
      <c r="K53" s="44">
        <v>36</v>
      </c>
      <c r="L53" s="44">
        <v>34</v>
      </c>
      <c r="M53" s="44">
        <v>40</v>
      </c>
      <c r="N53" s="44">
        <v>40</v>
      </c>
      <c r="O53" s="44">
        <v>40</v>
      </c>
      <c r="P53" s="44">
        <v>40</v>
      </c>
      <c r="Q53" s="44">
        <v>40</v>
      </c>
      <c r="R53" s="44">
        <v>40</v>
      </c>
      <c r="S53" s="45">
        <v>29</v>
      </c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7"/>
      <c r="CF53" s="47"/>
      <c r="CG53" s="47"/>
      <c r="CH53" s="47"/>
      <c r="CI53" s="47"/>
      <c r="CJ53" s="47"/>
      <c r="CK53" s="47"/>
      <c r="CL53" s="47"/>
      <c r="CM53" s="47"/>
      <c r="CN53" s="47"/>
      <c r="CO53" s="48"/>
      <c r="CP53" s="48"/>
      <c r="CQ53" s="48"/>
      <c r="CR53" s="48"/>
      <c r="CS53" s="48"/>
      <c r="CT53" s="48"/>
      <c r="CU53" s="48"/>
      <c r="CV53" s="48"/>
      <c r="CW53" s="48"/>
      <c r="CX53" s="48"/>
      <c r="CY53" s="47"/>
      <c r="CZ53" s="6"/>
      <c r="DA53" s="12"/>
      <c r="DB53" s="162" t="s">
        <v>28</v>
      </c>
      <c r="DC53" s="162"/>
      <c r="DD53" s="162"/>
      <c r="DE53" s="162"/>
      <c r="DF53" s="162"/>
      <c r="DG53" s="162"/>
      <c r="DH53" s="6"/>
      <c r="DI53" s="83"/>
      <c r="DJ53" s="118" t="s">
        <v>35</v>
      </c>
      <c r="DK53" s="119"/>
      <c r="DL53" s="119"/>
      <c r="DM53" s="119"/>
      <c r="DN53" s="120"/>
      <c r="DO53" s="6"/>
    </row>
    <row r="54" spans="1:120" ht="19.5" customHeight="1" x14ac:dyDescent="0.25">
      <c r="A54" s="66">
        <v>18</v>
      </c>
      <c r="B54" s="60" t="s">
        <v>13</v>
      </c>
      <c r="C54" s="112">
        <v>15</v>
      </c>
      <c r="D54" s="113">
        <v>296</v>
      </c>
      <c r="E54" s="113">
        <v>375</v>
      </c>
      <c r="F54" s="113">
        <v>284</v>
      </c>
      <c r="G54" s="114">
        <v>79</v>
      </c>
      <c r="H54" s="114">
        <v>12</v>
      </c>
      <c r="I54" s="114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4">
        <v>39</v>
      </c>
      <c r="U54" s="44">
        <v>39</v>
      </c>
      <c r="V54" s="44">
        <v>40</v>
      </c>
      <c r="W54" s="44">
        <v>40</v>
      </c>
      <c r="X54" s="44">
        <v>40</v>
      </c>
      <c r="Y54" s="44">
        <v>40</v>
      </c>
      <c r="Z54" s="44">
        <v>34</v>
      </c>
      <c r="AA54" s="44">
        <v>39</v>
      </c>
      <c r="AB54" s="44">
        <v>38</v>
      </c>
      <c r="AC54" s="45">
        <v>26</v>
      </c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50"/>
      <c r="BR54" s="50"/>
      <c r="BS54" s="50"/>
      <c r="BT54" s="50"/>
      <c r="BU54" s="50"/>
      <c r="BV54" s="50"/>
      <c r="BW54" s="50"/>
      <c r="BX54" s="50"/>
      <c r="BY54" s="50"/>
      <c r="BZ54" s="50"/>
      <c r="CA54" s="50"/>
      <c r="CB54" s="50"/>
      <c r="CC54" s="50"/>
      <c r="CD54" s="50"/>
      <c r="CE54" s="48"/>
      <c r="CF54" s="48"/>
      <c r="CG54" s="48"/>
      <c r="CH54" s="48"/>
      <c r="CI54" s="48"/>
      <c r="CJ54" s="48"/>
      <c r="CK54" s="48"/>
      <c r="CL54" s="48"/>
      <c r="CM54" s="48"/>
      <c r="CN54" s="47"/>
      <c r="CO54" s="47"/>
      <c r="CP54" s="47"/>
      <c r="CQ54" s="47"/>
      <c r="CR54" s="47"/>
      <c r="CS54" s="47"/>
      <c r="CT54" s="47"/>
      <c r="CU54" s="47"/>
      <c r="CV54" s="47"/>
      <c r="CW54" s="47"/>
      <c r="CX54" s="47"/>
      <c r="CY54" s="47"/>
      <c r="CZ54" s="6"/>
      <c r="DA54" s="87"/>
      <c r="DB54" s="118" t="s">
        <v>29</v>
      </c>
      <c r="DC54" s="119"/>
      <c r="DD54" s="119"/>
      <c r="DE54" s="119"/>
      <c r="DF54" s="119"/>
      <c r="DG54" s="120"/>
      <c r="DH54" s="6"/>
      <c r="DI54" s="35"/>
      <c r="DJ54" s="118" t="s">
        <v>33</v>
      </c>
      <c r="DK54" s="119"/>
      <c r="DL54" s="119"/>
      <c r="DM54" s="119"/>
      <c r="DN54" s="120"/>
      <c r="DO54" s="6"/>
    </row>
    <row r="55" spans="1:120" ht="19.5" customHeight="1" x14ac:dyDescent="0.25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52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53"/>
      <c r="DB55" s="118" t="s">
        <v>30</v>
      </c>
      <c r="DC55" s="119"/>
      <c r="DD55" s="119"/>
      <c r="DE55" s="119"/>
      <c r="DF55" s="119"/>
      <c r="DG55" s="120"/>
      <c r="DH55" s="6"/>
      <c r="DI55" s="51"/>
      <c r="DJ55" s="162" t="s">
        <v>34</v>
      </c>
      <c r="DK55" s="162"/>
      <c r="DL55" s="162"/>
      <c r="DM55" s="162"/>
      <c r="DN55" s="162"/>
      <c r="DO55" s="6"/>
    </row>
    <row r="56" spans="1:120" ht="15.75" customHeight="1" x14ac:dyDescent="0.25">
      <c r="B56" s="6"/>
      <c r="C56" s="6"/>
      <c r="D56" s="6"/>
      <c r="E56" s="6"/>
      <c r="F56" s="6"/>
      <c r="G56" s="6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  <c r="BP56" s="52"/>
      <c r="BQ56" s="52"/>
      <c r="BR56" s="52"/>
      <c r="BS56" s="52"/>
      <c r="BT56" s="52"/>
      <c r="BU56" s="52"/>
      <c r="BV56" s="52"/>
      <c r="BW56" s="52"/>
      <c r="BX56" s="52"/>
      <c r="BY56" s="52"/>
      <c r="BZ56" s="52"/>
      <c r="CA56" s="52"/>
      <c r="CB56" s="52"/>
      <c r="CC56" s="52"/>
      <c r="CD56" s="52"/>
      <c r="CE56" s="52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54"/>
      <c r="DB56" s="118" t="s">
        <v>31</v>
      </c>
      <c r="DC56" s="119"/>
      <c r="DD56" s="119"/>
      <c r="DE56" s="119"/>
      <c r="DF56" s="119"/>
      <c r="DG56" s="120"/>
      <c r="DH56" s="6"/>
      <c r="DI56" s="6"/>
      <c r="DJ56" s="6"/>
      <c r="DK56" s="6"/>
      <c r="DL56" s="6"/>
      <c r="DM56" s="6"/>
      <c r="DN56" s="6"/>
      <c r="DO56" s="6"/>
    </row>
    <row r="57" spans="1:120" x14ac:dyDescent="0.25">
      <c r="DA57" s="2"/>
      <c r="DB57" s="5"/>
      <c r="DC57" s="5"/>
      <c r="DD57" s="5"/>
      <c r="DE57" s="5"/>
      <c r="DF57" s="5"/>
      <c r="DG57" s="5"/>
    </row>
    <row r="59" spans="1:120" hidden="1" x14ac:dyDescent="0.25"/>
    <row r="60" spans="1:120" hidden="1" x14ac:dyDescent="0.25"/>
    <row r="61" spans="1:120" hidden="1" x14ac:dyDescent="0.25"/>
    <row r="62" spans="1:120" hidden="1" x14ac:dyDescent="0.25"/>
    <row r="63" spans="1:120" hidden="1" x14ac:dyDescent="0.25"/>
    <row r="64" spans="1:120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  <row r="169" hidden="1" x14ac:dyDescent="0.25"/>
    <row r="170" hidden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  <row r="230" hidden="1" x14ac:dyDescent="0.25"/>
    <row r="231" hidden="1" x14ac:dyDescent="0.25"/>
    <row r="232" hidden="1" x14ac:dyDescent="0.25"/>
    <row r="233" hidden="1" x14ac:dyDescent="0.25"/>
    <row r="234" hidden="1" x14ac:dyDescent="0.25"/>
    <row r="235" hidden="1" x14ac:dyDescent="0.25"/>
    <row r="236" hidden="1" x14ac:dyDescent="0.25"/>
    <row r="237" hidden="1" x14ac:dyDescent="0.25"/>
    <row r="238" hidden="1" x14ac:dyDescent="0.25"/>
    <row r="239" hidden="1" x14ac:dyDescent="0.25"/>
    <row r="240" hidden="1" x14ac:dyDescent="0.25"/>
    <row r="241" hidden="1" x14ac:dyDescent="0.25"/>
    <row r="242" hidden="1" x14ac:dyDescent="0.25"/>
    <row r="243" hidden="1" x14ac:dyDescent="0.25"/>
    <row r="244" hidden="1" x14ac:dyDescent="0.25"/>
    <row r="245" hidden="1" x14ac:dyDescent="0.25"/>
    <row r="246" hidden="1" x14ac:dyDescent="0.25"/>
    <row r="247" hidden="1" x14ac:dyDescent="0.25"/>
    <row r="248" hidden="1" x14ac:dyDescent="0.25"/>
    <row r="249" hidden="1" x14ac:dyDescent="0.25"/>
    <row r="250" hidden="1" x14ac:dyDescent="0.25"/>
    <row r="251" hidden="1" x14ac:dyDescent="0.25"/>
    <row r="252" hidden="1" x14ac:dyDescent="0.25"/>
    <row r="253" hidden="1" x14ac:dyDescent="0.25"/>
    <row r="254" hidden="1" x14ac:dyDescent="0.25"/>
    <row r="255" hidden="1" x14ac:dyDescent="0.25"/>
    <row r="256" hidden="1" x14ac:dyDescent="0.25"/>
    <row r="257" hidden="1" x14ac:dyDescent="0.25"/>
    <row r="258" hidden="1" x14ac:dyDescent="0.25"/>
    <row r="259" hidden="1" x14ac:dyDescent="0.25"/>
    <row r="260" hidden="1" x14ac:dyDescent="0.25"/>
    <row r="261" hidden="1" x14ac:dyDescent="0.25"/>
    <row r="262" hidden="1" x14ac:dyDescent="0.25"/>
    <row r="263" hidden="1" x14ac:dyDescent="0.25"/>
    <row r="264" hidden="1" x14ac:dyDescent="0.25"/>
    <row r="265" hidden="1" x14ac:dyDescent="0.25"/>
    <row r="266" hidden="1" x14ac:dyDescent="0.25"/>
    <row r="267" hidden="1" x14ac:dyDescent="0.25"/>
    <row r="268" hidden="1" x14ac:dyDescent="0.25"/>
    <row r="269" hidden="1" x14ac:dyDescent="0.25"/>
    <row r="270" hidden="1" x14ac:dyDescent="0.25"/>
    <row r="271" hidden="1" x14ac:dyDescent="0.25"/>
    <row r="272" hidden="1" x14ac:dyDescent="0.25"/>
    <row r="273" hidden="1" x14ac:dyDescent="0.25"/>
    <row r="274" hidden="1" x14ac:dyDescent="0.25"/>
    <row r="275" hidden="1" x14ac:dyDescent="0.25"/>
    <row r="276" hidden="1" x14ac:dyDescent="0.25"/>
    <row r="277" hidden="1" x14ac:dyDescent="0.25"/>
    <row r="278" hidden="1" x14ac:dyDescent="0.25"/>
    <row r="279" hidden="1" x14ac:dyDescent="0.25"/>
    <row r="280" hidden="1" x14ac:dyDescent="0.25"/>
    <row r="281" hidden="1" x14ac:dyDescent="0.25"/>
    <row r="282" hidden="1" x14ac:dyDescent="0.25"/>
    <row r="283" hidden="1" x14ac:dyDescent="0.25"/>
    <row r="284" hidden="1" x14ac:dyDescent="0.25"/>
    <row r="285" hidden="1" x14ac:dyDescent="0.25"/>
    <row r="286" hidden="1" x14ac:dyDescent="0.25"/>
    <row r="287" hidden="1" x14ac:dyDescent="0.25"/>
    <row r="288" hidden="1" x14ac:dyDescent="0.25"/>
    <row r="289" hidden="1" x14ac:dyDescent="0.25"/>
    <row r="290" hidden="1" x14ac:dyDescent="0.25"/>
    <row r="291" hidden="1" x14ac:dyDescent="0.25"/>
    <row r="292" hidden="1" x14ac:dyDescent="0.25"/>
    <row r="293" hidden="1" x14ac:dyDescent="0.25"/>
    <row r="294" hidden="1" x14ac:dyDescent="0.25"/>
    <row r="295" hidden="1" x14ac:dyDescent="0.25"/>
    <row r="296" hidden="1" x14ac:dyDescent="0.25"/>
    <row r="297" hidden="1" x14ac:dyDescent="0.25"/>
    <row r="298" hidden="1" x14ac:dyDescent="0.25"/>
    <row r="299" hidden="1" x14ac:dyDescent="0.25"/>
    <row r="300" hidden="1" x14ac:dyDescent="0.25"/>
    <row r="301" hidden="1" x14ac:dyDescent="0.25"/>
    <row r="302" hidden="1" x14ac:dyDescent="0.25"/>
    <row r="303" hidden="1" x14ac:dyDescent="0.25"/>
    <row r="304" hidden="1" x14ac:dyDescent="0.25"/>
    <row r="305" hidden="1" x14ac:dyDescent="0.25"/>
    <row r="306" hidden="1" x14ac:dyDescent="0.25"/>
    <row r="307" hidden="1" x14ac:dyDescent="0.25"/>
    <row r="308" hidden="1" x14ac:dyDescent="0.25"/>
    <row r="309" hidden="1" x14ac:dyDescent="0.25"/>
    <row r="310" hidden="1" x14ac:dyDescent="0.25"/>
    <row r="311" hidden="1" x14ac:dyDescent="0.25"/>
    <row r="312" hidden="1" x14ac:dyDescent="0.25"/>
    <row r="313" hidden="1" x14ac:dyDescent="0.25"/>
    <row r="314" hidden="1" x14ac:dyDescent="0.25"/>
    <row r="315" hidden="1" x14ac:dyDescent="0.25"/>
    <row r="316" hidden="1" x14ac:dyDescent="0.25"/>
    <row r="317" hidden="1" x14ac:dyDescent="0.25"/>
    <row r="318" hidden="1" x14ac:dyDescent="0.25"/>
    <row r="319" hidden="1" x14ac:dyDescent="0.25"/>
    <row r="320" hidden="1" x14ac:dyDescent="0.25"/>
    <row r="321" hidden="1" x14ac:dyDescent="0.25"/>
    <row r="322" hidden="1" x14ac:dyDescent="0.25"/>
    <row r="323" hidden="1" x14ac:dyDescent="0.25"/>
    <row r="324" hidden="1" x14ac:dyDescent="0.25"/>
    <row r="325" hidden="1" x14ac:dyDescent="0.25"/>
    <row r="326" hidden="1" x14ac:dyDescent="0.25"/>
    <row r="327" hidden="1" x14ac:dyDescent="0.25"/>
    <row r="328" hidden="1" x14ac:dyDescent="0.25"/>
    <row r="329" hidden="1" x14ac:dyDescent="0.25"/>
    <row r="330" hidden="1" x14ac:dyDescent="0.25"/>
    <row r="331" hidden="1" x14ac:dyDescent="0.25"/>
    <row r="332" hidden="1" x14ac:dyDescent="0.25"/>
    <row r="333" hidden="1" x14ac:dyDescent="0.25"/>
    <row r="334" hidden="1" x14ac:dyDescent="0.25"/>
    <row r="335" hidden="1" x14ac:dyDescent="0.25"/>
    <row r="336" hidden="1" x14ac:dyDescent="0.25"/>
    <row r="337" hidden="1" x14ac:dyDescent="0.25"/>
    <row r="338" hidden="1" x14ac:dyDescent="0.25"/>
    <row r="339" hidden="1" x14ac:dyDescent="0.25"/>
    <row r="340" hidden="1" x14ac:dyDescent="0.25"/>
    <row r="341" hidden="1" x14ac:dyDescent="0.25"/>
    <row r="342" hidden="1" x14ac:dyDescent="0.25"/>
    <row r="343" hidden="1" x14ac:dyDescent="0.25"/>
    <row r="344" hidden="1" x14ac:dyDescent="0.25"/>
    <row r="345" hidden="1" x14ac:dyDescent="0.25"/>
    <row r="346" hidden="1" x14ac:dyDescent="0.25"/>
    <row r="347" hidden="1" x14ac:dyDescent="0.25"/>
    <row r="348" hidden="1" x14ac:dyDescent="0.25"/>
    <row r="349" hidden="1" x14ac:dyDescent="0.25"/>
    <row r="350" hidden="1" x14ac:dyDescent="0.25"/>
    <row r="351" hidden="1" x14ac:dyDescent="0.25"/>
    <row r="352" hidden="1" x14ac:dyDescent="0.25"/>
    <row r="353" hidden="1" x14ac:dyDescent="0.25"/>
    <row r="354" hidden="1" x14ac:dyDescent="0.25"/>
    <row r="355" hidden="1" x14ac:dyDescent="0.25"/>
    <row r="356" hidden="1" x14ac:dyDescent="0.25"/>
    <row r="357" hidden="1" x14ac:dyDescent="0.25"/>
    <row r="358" hidden="1" x14ac:dyDescent="0.25"/>
    <row r="359" hidden="1" x14ac:dyDescent="0.25"/>
    <row r="360" hidden="1" x14ac:dyDescent="0.25"/>
    <row r="361" hidden="1" x14ac:dyDescent="0.25"/>
    <row r="362" hidden="1" x14ac:dyDescent="0.25"/>
    <row r="363" hidden="1" x14ac:dyDescent="0.25"/>
    <row r="364" hidden="1" x14ac:dyDescent="0.25"/>
    <row r="365" hidden="1" x14ac:dyDescent="0.25"/>
    <row r="366" hidden="1" x14ac:dyDescent="0.25"/>
    <row r="367" hidden="1" x14ac:dyDescent="0.25"/>
    <row r="368" hidden="1" x14ac:dyDescent="0.25"/>
    <row r="369" hidden="1" x14ac:dyDescent="0.25"/>
    <row r="370" hidden="1" x14ac:dyDescent="0.25"/>
    <row r="371" hidden="1" x14ac:dyDescent="0.25"/>
    <row r="372" hidden="1" x14ac:dyDescent="0.25"/>
    <row r="373" hidden="1" x14ac:dyDescent="0.25"/>
    <row r="374" hidden="1" x14ac:dyDescent="0.25"/>
    <row r="375" hidden="1" x14ac:dyDescent="0.25"/>
    <row r="376" hidden="1" x14ac:dyDescent="0.25"/>
    <row r="377" hidden="1" x14ac:dyDescent="0.25"/>
    <row r="378" hidden="1" x14ac:dyDescent="0.25"/>
    <row r="379" hidden="1" x14ac:dyDescent="0.25"/>
    <row r="380" hidden="1" x14ac:dyDescent="0.25"/>
    <row r="381" hidden="1" x14ac:dyDescent="0.25"/>
    <row r="382" hidden="1" x14ac:dyDescent="0.25"/>
    <row r="383" hidden="1" x14ac:dyDescent="0.25"/>
    <row r="384" hidden="1" x14ac:dyDescent="0.25"/>
    <row r="385" hidden="1" x14ac:dyDescent="0.25"/>
    <row r="386" hidden="1" x14ac:dyDescent="0.25"/>
    <row r="387" hidden="1" x14ac:dyDescent="0.25"/>
    <row r="388" hidden="1" x14ac:dyDescent="0.25"/>
    <row r="389" hidden="1" x14ac:dyDescent="0.25"/>
    <row r="390" hidden="1" x14ac:dyDescent="0.25"/>
    <row r="391" hidden="1" x14ac:dyDescent="0.25"/>
    <row r="392" hidden="1" x14ac:dyDescent="0.25"/>
    <row r="393" hidden="1" x14ac:dyDescent="0.25"/>
    <row r="394" hidden="1" x14ac:dyDescent="0.25"/>
    <row r="395" hidden="1" x14ac:dyDescent="0.25"/>
    <row r="396" hidden="1" x14ac:dyDescent="0.25"/>
    <row r="397" hidden="1" x14ac:dyDescent="0.25"/>
    <row r="398" hidden="1" x14ac:dyDescent="0.25"/>
    <row r="399" hidden="1" x14ac:dyDescent="0.25"/>
    <row r="400" hidden="1" x14ac:dyDescent="0.25"/>
    <row r="401" hidden="1" x14ac:dyDescent="0.25"/>
    <row r="402" hidden="1" x14ac:dyDescent="0.25"/>
    <row r="403" hidden="1" x14ac:dyDescent="0.25"/>
    <row r="404" hidden="1" x14ac:dyDescent="0.25"/>
    <row r="405" hidden="1" x14ac:dyDescent="0.25"/>
    <row r="406" hidden="1" x14ac:dyDescent="0.25"/>
    <row r="407" hidden="1" x14ac:dyDescent="0.25"/>
    <row r="408" hidden="1" x14ac:dyDescent="0.25"/>
    <row r="409" hidden="1" x14ac:dyDescent="0.25"/>
    <row r="410" hidden="1" x14ac:dyDescent="0.25"/>
    <row r="411" hidden="1" x14ac:dyDescent="0.25"/>
    <row r="412" hidden="1" x14ac:dyDescent="0.25"/>
    <row r="413" hidden="1" x14ac:dyDescent="0.25"/>
    <row r="414" hidden="1" x14ac:dyDescent="0.25"/>
    <row r="415" hidden="1" x14ac:dyDescent="0.25"/>
    <row r="416" hidden="1" x14ac:dyDescent="0.25"/>
    <row r="417" hidden="1" x14ac:dyDescent="0.25"/>
    <row r="418" hidden="1" x14ac:dyDescent="0.25"/>
    <row r="419" hidden="1" x14ac:dyDescent="0.25"/>
    <row r="420" hidden="1" x14ac:dyDescent="0.25"/>
    <row r="421" hidden="1" x14ac:dyDescent="0.25"/>
    <row r="422" hidden="1" x14ac:dyDescent="0.25"/>
    <row r="423" hidden="1" x14ac:dyDescent="0.25"/>
    <row r="424" hidden="1" x14ac:dyDescent="0.25"/>
    <row r="425" hidden="1" x14ac:dyDescent="0.25"/>
    <row r="426" hidden="1" x14ac:dyDescent="0.25"/>
    <row r="427" hidden="1" x14ac:dyDescent="0.25"/>
    <row r="428" hidden="1" x14ac:dyDescent="0.25"/>
    <row r="429" hidden="1" x14ac:dyDescent="0.25"/>
    <row r="430" hidden="1" x14ac:dyDescent="0.25"/>
    <row r="431" hidden="1" x14ac:dyDescent="0.25"/>
    <row r="432" hidden="1" x14ac:dyDescent="0.25"/>
    <row r="433" hidden="1" x14ac:dyDescent="0.25"/>
    <row r="434" hidden="1" x14ac:dyDescent="0.25"/>
    <row r="435" hidden="1" x14ac:dyDescent="0.25"/>
    <row r="436" hidden="1" x14ac:dyDescent="0.25"/>
    <row r="437" hidden="1" x14ac:dyDescent="0.25"/>
    <row r="438" hidden="1" x14ac:dyDescent="0.25"/>
    <row r="439" hidden="1" x14ac:dyDescent="0.25"/>
    <row r="440" hidden="1" x14ac:dyDescent="0.25"/>
    <row r="441" hidden="1" x14ac:dyDescent="0.25"/>
    <row r="442" hidden="1" x14ac:dyDescent="0.25"/>
    <row r="443" hidden="1" x14ac:dyDescent="0.25"/>
    <row r="444" hidden="1" x14ac:dyDescent="0.25"/>
    <row r="445" hidden="1" x14ac:dyDescent="0.25"/>
    <row r="446" hidden="1" x14ac:dyDescent="0.25"/>
    <row r="447" hidden="1" x14ac:dyDescent="0.25"/>
    <row r="448" hidden="1" x14ac:dyDescent="0.25"/>
    <row r="449" hidden="1" x14ac:dyDescent="0.25"/>
    <row r="450" hidden="1" x14ac:dyDescent="0.25"/>
    <row r="451" hidden="1" x14ac:dyDescent="0.25"/>
    <row r="452" hidden="1" x14ac:dyDescent="0.25"/>
    <row r="453" hidden="1" x14ac:dyDescent="0.25"/>
    <row r="454" hidden="1" x14ac:dyDescent="0.25"/>
    <row r="455" hidden="1" x14ac:dyDescent="0.25"/>
    <row r="456" hidden="1" x14ac:dyDescent="0.25"/>
    <row r="457" hidden="1" x14ac:dyDescent="0.25"/>
    <row r="458" hidden="1" x14ac:dyDescent="0.25"/>
    <row r="459" hidden="1" x14ac:dyDescent="0.25"/>
    <row r="460" hidden="1" x14ac:dyDescent="0.25"/>
    <row r="461" hidden="1" x14ac:dyDescent="0.25"/>
    <row r="462" hidden="1" x14ac:dyDescent="0.25"/>
    <row r="463" hidden="1" x14ac:dyDescent="0.25"/>
    <row r="464" hidden="1" x14ac:dyDescent="0.25"/>
    <row r="465" hidden="1" x14ac:dyDescent="0.25"/>
    <row r="466" hidden="1" x14ac:dyDescent="0.25"/>
    <row r="467" hidden="1" x14ac:dyDescent="0.25"/>
    <row r="468" hidden="1" x14ac:dyDescent="0.25"/>
    <row r="469" hidden="1" x14ac:dyDescent="0.25"/>
    <row r="470" hidden="1" x14ac:dyDescent="0.25"/>
    <row r="471" hidden="1" x14ac:dyDescent="0.25"/>
    <row r="472" hidden="1" x14ac:dyDescent="0.25"/>
    <row r="473" hidden="1" x14ac:dyDescent="0.25"/>
    <row r="474" hidden="1" x14ac:dyDescent="0.25"/>
    <row r="475" hidden="1" x14ac:dyDescent="0.25"/>
    <row r="476" hidden="1" x14ac:dyDescent="0.25"/>
    <row r="477" hidden="1" x14ac:dyDescent="0.25"/>
    <row r="478" hidden="1" x14ac:dyDescent="0.25"/>
    <row r="479" hidden="1" x14ac:dyDescent="0.25"/>
    <row r="480" hidden="1" x14ac:dyDescent="0.25"/>
    <row r="481" hidden="1" x14ac:dyDescent="0.25"/>
    <row r="482" hidden="1" x14ac:dyDescent="0.25"/>
    <row r="483" hidden="1" x14ac:dyDescent="0.25"/>
    <row r="484" hidden="1" x14ac:dyDescent="0.25"/>
    <row r="485" hidden="1" x14ac:dyDescent="0.25"/>
    <row r="486" hidden="1" x14ac:dyDescent="0.25"/>
    <row r="487" hidden="1" x14ac:dyDescent="0.25"/>
    <row r="488" hidden="1" x14ac:dyDescent="0.25"/>
    <row r="489" hidden="1" x14ac:dyDescent="0.25"/>
    <row r="490" hidden="1" x14ac:dyDescent="0.25"/>
    <row r="491" hidden="1" x14ac:dyDescent="0.25"/>
    <row r="492" hidden="1" x14ac:dyDescent="0.25"/>
    <row r="493" hidden="1" x14ac:dyDescent="0.25"/>
    <row r="494" hidden="1" x14ac:dyDescent="0.25"/>
    <row r="495" hidden="1" x14ac:dyDescent="0.25"/>
    <row r="496" hidden="1" x14ac:dyDescent="0.25"/>
    <row r="497" hidden="1" x14ac:dyDescent="0.25"/>
    <row r="498" hidden="1" x14ac:dyDescent="0.25"/>
    <row r="499" hidden="1" x14ac:dyDescent="0.25"/>
    <row r="500" hidden="1" x14ac:dyDescent="0.25"/>
    <row r="501" hidden="1" x14ac:dyDescent="0.25"/>
    <row r="502" hidden="1" x14ac:dyDescent="0.25"/>
    <row r="503" hidden="1" x14ac:dyDescent="0.25"/>
    <row r="504" hidden="1" x14ac:dyDescent="0.25"/>
    <row r="505" hidden="1" x14ac:dyDescent="0.25"/>
    <row r="506" hidden="1" x14ac:dyDescent="0.25"/>
    <row r="507" hidden="1" x14ac:dyDescent="0.25"/>
    <row r="508" hidden="1" x14ac:dyDescent="0.25"/>
    <row r="509" hidden="1" x14ac:dyDescent="0.25"/>
    <row r="510" hidden="1" x14ac:dyDescent="0.25"/>
    <row r="511" hidden="1" x14ac:dyDescent="0.25"/>
    <row r="512" hidden="1" x14ac:dyDescent="0.25"/>
    <row r="513" hidden="1" x14ac:dyDescent="0.25"/>
    <row r="514" hidden="1" x14ac:dyDescent="0.25"/>
    <row r="515" hidden="1" x14ac:dyDescent="0.25"/>
    <row r="516" hidden="1" x14ac:dyDescent="0.25"/>
    <row r="517" hidden="1" x14ac:dyDescent="0.25"/>
    <row r="518" hidden="1" x14ac:dyDescent="0.25"/>
    <row r="519" hidden="1" x14ac:dyDescent="0.25"/>
    <row r="520" hidden="1" x14ac:dyDescent="0.25"/>
    <row r="521" hidden="1" x14ac:dyDescent="0.25"/>
    <row r="522" hidden="1" x14ac:dyDescent="0.25"/>
    <row r="523" hidden="1" x14ac:dyDescent="0.25"/>
    <row r="524" hidden="1" x14ac:dyDescent="0.25"/>
    <row r="525" hidden="1" x14ac:dyDescent="0.25"/>
    <row r="526" hidden="1" x14ac:dyDescent="0.25"/>
    <row r="527" hidden="1" x14ac:dyDescent="0.25"/>
    <row r="528" hidden="1" x14ac:dyDescent="0.25"/>
    <row r="529" hidden="1" x14ac:dyDescent="0.25"/>
    <row r="530" hidden="1" x14ac:dyDescent="0.25"/>
    <row r="531" hidden="1" x14ac:dyDescent="0.25"/>
    <row r="532" hidden="1" x14ac:dyDescent="0.25"/>
    <row r="533" hidden="1" x14ac:dyDescent="0.25"/>
    <row r="534" hidden="1" x14ac:dyDescent="0.25"/>
    <row r="535" hidden="1" x14ac:dyDescent="0.25"/>
    <row r="536" hidden="1" x14ac:dyDescent="0.25"/>
    <row r="537" hidden="1" x14ac:dyDescent="0.25"/>
    <row r="538" hidden="1" x14ac:dyDescent="0.25"/>
    <row r="539" hidden="1" x14ac:dyDescent="0.25"/>
    <row r="540" hidden="1" x14ac:dyDescent="0.25"/>
    <row r="541" hidden="1" x14ac:dyDescent="0.25"/>
    <row r="542" hidden="1" x14ac:dyDescent="0.25"/>
    <row r="543" hidden="1" x14ac:dyDescent="0.25"/>
    <row r="544" hidden="1" x14ac:dyDescent="0.25"/>
    <row r="545" hidden="1" x14ac:dyDescent="0.25"/>
    <row r="546" hidden="1" x14ac:dyDescent="0.25"/>
    <row r="547" hidden="1" x14ac:dyDescent="0.25"/>
    <row r="548" hidden="1" x14ac:dyDescent="0.25"/>
    <row r="549" hidden="1" x14ac:dyDescent="0.25"/>
    <row r="550" hidden="1" x14ac:dyDescent="0.25"/>
    <row r="551" hidden="1" x14ac:dyDescent="0.25"/>
    <row r="552" hidden="1" x14ac:dyDescent="0.25"/>
    <row r="553" hidden="1" x14ac:dyDescent="0.25"/>
    <row r="554" hidden="1" x14ac:dyDescent="0.25"/>
    <row r="555" hidden="1" x14ac:dyDescent="0.25"/>
    <row r="556" hidden="1" x14ac:dyDescent="0.25"/>
    <row r="557" hidden="1" x14ac:dyDescent="0.25"/>
    <row r="558" hidden="1" x14ac:dyDescent="0.25"/>
    <row r="559" hidden="1" x14ac:dyDescent="0.25"/>
    <row r="560" hidden="1" x14ac:dyDescent="0.25"/>
    <row r="561" hidden="1" x14ac:dyDescent="0.25"/>
    <row r="562" hidden="1" x14ac:dyDescent="0.25"/>
    <row r="563" hidden="1" x14ac:dyDescent="0.25"/>
    <row r="564" hidden="1" x14ac:dyDescent="0.25"/>
    <row r="565" hidden="1" x14ac:dyDescent="0.25"/>
    <row r="566" hidden="1" x14ac:dyDescent="0.25"/>
    <row r="567" hidden="1" x14ac:dyDescent="0.25"/>
    <row r="568" hidden="1" x14ac:dyDescent="0.25"/>
    <row r="569" hidden="1" x14ac:dyDescent="0.25"/>
    <row r="570" hidden="1" x14ac:dyDescent="0.25"/>
    <row r="571" hidden="1" x14ac:dyDescent="0.25"/>
    <row r="572" hidden="1" x14ac:dyDescent="0.25"/>
    <row r="573" hidden="1" x14ac:dyDescent="0.25"/>
    <row r="574" hidden="1" x14ac:dyDescent="0.25"/>
    <row r="575" hidden="1" x14ac:dyDescent="0.25"/>
    <row r="576" hidden="1" x14ac:dyDescent="0.25"/>
    <row r="577" hidden="1" x14ac:dyDescent="0.25"/>
    <row r="578" hidden="1" x14ac:dyDescent="0.25"/>
    <row r="579" hidden="1" x14ac:dyDescent="0.25"/>
    <row r="580" hidden="1" x14ac:dyDescent="0.25"/>
    <row r="581" hidden="1" x14ac:dyDescent="0.25"/>
    <row r="582" hidden="1" x14ac:dyDescent="0.25"/>
    <row r="583" hidden="1" x14ac:dyDescent="0.25"/>
    <row r="584" hidden="1" x14ac:dyDescent="0.25"/>
    <row r="585" hidden="1" x14ac:dyDescent="0.25"/>
    <row r="586" hidden="1" x14ac:dyDescent="0.25"/>
    <row r="587" hidden="1" x14ac:dyDescent="0.25"/>
    <row r="588" hidden="1" x14ac:dyDescent="0.25"/>
    <row r="589" hidden="1" x14ac:dyDescent="0.25"/>
    <row r="590" hidden="1" x14ac:dyDescent="0.25"/>
    <row r="591" hidden="1" x14ac:dyDescent="0.25"/>
    <row r="592" hidden="1" x14ac:dyDescent="0.25"/>
    <row r="593" hidden="1" x14ac:dyDescent="0.25"/>
    <row r="594" hidden="1" x14ac:dyDescent="0.25"/>
    <row r="595" hidden="1" x14ac:dyDescent="0.25"/>
    <row r="596" hidden="1" x14ac:dyDescent="0.25"/>
    <row r="597" hidden="1" x14ac:dyDescent="0.25"/>
    <row r="598" hidden="1" x14ac:dyDescent="0.25"/>
    <row r="599" hidden="1" x14ac:dyDescent="0.25"/>
    <row r="600" hidden="1" x14ac:dyDescent="0.25"/>
    <row r="601" hidden="1" x14ac:dyDescent="0.25"/>
    <row r="602" hidden="1" x14ac:dyDescent="0.25"/>
    <row r="603" hidden="1" x14ac:dyDescent="0.25"/>
    <row r="604" hidden="1" x14ac:dyDescent="0.25"/>
    <row r="605" hidden="1" x14ac:dyDescent="0.25"/>
    <row r="606" hidden="1" x14ac:dyDescent="0.25"/>
    <row r="607" hidden="1" x14ac:dyDescent="0.25"/>
    <row r="608" hidden="1" x14ac:dyDescent="0.25"/>
    <row r="609" hidden="1" x14ac:dyDescent="0.25"/>
    <row r="610" hidden="1" x14ac:dyDescent="0.25"/>
    <row r="611" hidden="1" x14ac:dyDescent="0.25"/>
    <row r="612" hidden="1" x14ac:dyDescent="0.25"/>
    <row r="613" hidden="1" x14ac:dyDescent="0.25"/>
    <row r="614" hidden="1" x14ac:dyDescent="0.25"/>
    <row r="615" hidden="1" x14ac:dyDescent="0.25"/>
    <row r="616" hidden="1" x14ac:dyDescent="0.25"/>
    <row r="617" hidden="1" x14ac:dyDescent="0.25"/>
    <row r="618" hidden="1" x14ac:dyDescent="0.25"/>
    <row r="619" hidden="1" x14ac:dyDescent="0.25"/>
    <row r="620" hidden="1" x14ac:dyDescent="0.25"/>
    <row r="621" hidden="1" x14ac:dyDescent="0.25"/>
    <row r="622" hidden="1" x14ac:dyDescent="0.25"/>
    <row r="623" hidden="1" x14ac:dyDescent="0.25"/>
    <row r="624" hidden="1" x14ac:dyDescent="0.25"/>
    <row r="625" hidden="1" x14ac:dyDescent="0.25"/>
    <row r="626" hidden="1" x14ac:dyDescent="0.25"/>
    <row r="627" hidden="1" x14ac:dyDescent="0.25"/>
    <row r="628" hidden="1" x14ac:dyDescent="0.25"/>
    <row r="629" hidden="1" x14ac:dyDescent="0.25"/>
    <row r="630" hidden="1" x14ac:dyDescent="0.25"/>
    <row r="631" hidden="1" x14ac:dyDescent="0.25"/>
    <row r="632" hidden="1" x14ac:dyDescent="0.25"/>
    <row r="633" hidden="1" x14ac:dyDescent="0.25"/>
    <row r="634" hidden="1" x14ac:dyDescent="0.25"/>
    <row r="635" hidden="1" x14ac:dyDescent="0.25"/>
    <row r="636" hidden="1" x14ac:dyDescent="0.25"/>
    <row r="637" hidden="1" x14ac:dyDescent="0.25"/>
    <row r="638" hidden="1" x14ac:dyDescent="0.25"/>
    <row r="639" hidden="1" x14ac:dyDescent="0.25"/>
    <row r="640" hidden="1" x14ac:dyDescent="0.25"/>
    <row r="641" hidden="1" x14ac:dyDescent="0.25"/>
    <row r="642" hidden="1" x14ac:dyDescent="0.25"/>
    <row r="643" hidden="1" x14ac:dyDescent="0.25"/>
    <row r="644" hidden="1" x14ac:dyDescent="0.25"/>
    <row r="645" hidden="1" x14ac:dyDescent="0.25"/>
    <row r="646" hidden="1" x14ac:dyDescent="0.25"/>
    <row r="647" hidden="1" x14ac:dyDescent="0.25"/>
    <row r="648" hidden="1" x14ac:dyDescent="0.25"/>
    <row r="649" hidden="1" x14ac:dyDescent="0.25"/>
    <row r="650" hidden="1" x14ac:dyDescent="0.25"/>
    <row r="651" hidden="1" x14ac:dyDescent="0.25"/>
    <row r="652" hidden="1" x14ac:dyDescent="0.25"/>
    <row r="653" hidden="1" x14ac:dyDescent="0.25"/>
    <row r="654" hidden="1" x14ac:dyDescent="0.25"/>
    <row r="655" hidden="1" x14ac:dyDescent="0.25"/>
    <row r="656" hidden="1" x14ac:dyDescent="0.25"/>
    <row r="657" hidden="1" x14ac:dyDescent="0.25"/>
    <row r="658" hidden="1" x14ac:dyDescent="0.25"/>
    <row r="659" hidden="1" x14ac:dyDescent="0.25"/>
    <row r="660" hidden="1" x14ac:dyDescent="0.25"/>
    <row r="661" hidden="1" x14ac:dyDescent="0.25"/>
    <row r="662" hidden="1" x14ac:dyDescent="0.25"/>
    <row r="663" hidden="1" x14ac:dyDescent="0.25"/>
    <row r="664" hidden="1" x14ac:dyDescent="0.25"/>
    <row r="665" hidden="1" x14ac:dyDescent="0.25"/>
    <row r="666" hidden="1" x14ac:dyDescent="0.25"/>
    <row r="667" hidden="1" x14ac:dyDescent="0.25"/>
    <row r="668" hidden="1" x14ac:dyDescent="0.25"/>
    <row r="669" hidden="1" x14ac:dyDescent="0.25"/>
    <row r="670" hidden="1" x14ac:dyDescent="0.25"/>
    <row r="671" hidden="1" x14ac:dyDescent="0.25"/>
    <row r="672" hidden="1" x14ac:dyDescent="0.25"/>
    <row r="673" hidden="1" x14ac:dyDescent="0.25"/>
    <row r="674" hidden="1" x14ac:dyDescent="0.25"/>
    <row r="675" hidden="1" x14ac:dyDescent="0.25"/>
    <row r="676" hidden="1" x14ac:dyDescent="0.25"/>
    <row r="677" hidden="1" x14ac:dyDescent="0.25"/>
    <row r="678" hidden="1" x14ac:dyDescent="0.25"/>
    <row r="679" hidden="1" x14ac:dyDescent="0.25"/>
    <row r="680" hidden="1" x14ac:dyDescent="0.25"/>
    <row r="681" hidden="1" x14ac:dyDescent="0.25"/>
    <row r="682" hidden="1" x14ac:dyDescent="0.25"/>
    <row r="683" hidden="1" x14ac:dyDescent="0.25"/>
    <row r="684" hidden="1" x14ac:dyDescent="0.25"/>
    <row r="685" hidden="1" x14ac:dyDescent="0.25"/>
    <row r="686" hidden="1" x14ac:dyDescent="0.25"/>
    <row r="687" hidden="1" x14ac:dyDescent="0.25"/>
    <row r="688" hidden="1" x14ac:dyDescent="0.25"/>
    <row r="689" hidden="1" x14ac:dyDescent="0.25"/>
    <row r="690" hidden="1" x14ac:dyDescent="0.25"/>
    <row r="691" hidden="1" x14ac:dyDescent="0.25"/>
    <row r="692" hidden="1" x14ac:dyDescent="0.25"/>
    <row r="693" hidden="1" x14ac:dyDescent="0.25"/>
    <row r="694" hidden="1" x14ac:dyDescent="0.25"/>
    <row r="695" hidden="1" x14ac:dyDescent="0.25"/>
    <row r="696" hidden="1" x14ac:dyDescent="0.25"/>
    <row r="697" hidden="1" x14ac:dyDescent="0.25"/>
    <row r="698" hidden="1" x14ac:dyDescent="0.25"/>
    <row r="699" hidden="1" x14ac:dyDescent="0.25"/>
    <row r="700" hidden="1" x14ac:dyDescent="0.25"/>
    <row r="701" hidden="1" x14ac:dyDescent="0.25"/>
    <row r="702" hidden="1" x14ac:dyDescent="0.25"/>
    <row r="703" hidden="1" x14ac:dyDescent="0.25"/>
    <row r="704" hidden="1" x14ac:dyDescent="0.25"/>
    <row r="705" hidden="1" x14ac:dyDescent="0.25"/>
    <row r="706" hidden="1" x14ac:dyDescent="0.25"/>
    <row r="707" hidden="1" x14ac:dyDescent="0.25"/>
    <row r="708" hidden="1" x14ac:dyDescent="0.25"/>
    <row r="709" hidden="1" x14ac:dyDescent="0.25"/>
    <row r="710" hidden="1" x14ac:dyDescent="0.25"/>
    <row r="711" hidden="1" x14ac:dyDescent="0.25"/>
    <row r="712" hidden="1" x14ac:dyDescent="0.25"/>
    <row r="713" hidden="1" x14ac:dyDescent="0.25"/>
    <row r="714" hidden="1" x14ac:dyDescent="0.25"/>
    <row r="715" hidden="1" x14ac:dyDescent="0.25"/>
    <row r="716" hidden="1" x14ac:dyDescent="0.25"/>
    <row r="717" hidden="1" x14ac:dyDescent="0.25"/>
    <row r="718" hidden="1" x14ac:dyDescent="0.25"/>
    <row r="719" hidden="1" x14ac:dyDescent="0.25"/>
    <row r="720" hidden="1" x14ac:dyDescent="0.25"/>
    <row r="721" hidden="1" x14ac:dyDescent="0.25"/>
    <row r="722" hidden="1" x14ac:dyDescent="0.25"/>
    <row r="723" hidden="1" x14ac:dyDescent="0.25"/>
    <row r="724" hidden="1" x14ac:dyDescent="0.25"/>
    <row r="725" hidden="1" x14ac:dyDescent="0.25"/>
    <row r="726" hidden="1" x14ac:dyDescent="0.25"/>
    <row r="727" hidden="1" x14ac:dyDescent="0.25"/>
    <row r="728" hidden="1" x14ac:dyDescent="0.25"/>
    <row r="729" hidden="1" x14ac:dyDescent="0.25"/>
    <row r="730" hidden="1" x14ac:dyDescent="0.25"/>
    <row r="731" hidden="1" x14ac:dyDescent="0.25"/>
    <row r="732" hidden="1" x14ac:dyDescent="0.25"/>
    <row r="733" hidden="1" x14ac:dyDescent="0.25"/>
    <row r="734" hidden="1" x14ac:dyDescent="0.25"/>
    <row r="735" hidden="1" x14ac:dyDescent="0.25"/>
    <row r="736" hidden="1" x14ac:dyDescent="0.25"/>
    <row r="737" hidden="1" x14ac:dyDescent="0.25"/>
    <row r="738" hidden="1" x14ac:dyDescent="0.25"/>
    <row r="739" hidden="1" x14ac:dyDescent="0.25"/>
    <row r="740" hidden="1" x14ac:dyDescent="0.25"/>
    <row r="741" hidden="1" x14ac:dyDescent="0.25"/>
    <row r="742" hidden="1" x14ac:dyDescent="0.25"/>
    <row r="743" hidden="1" x14ac:dyDescent="0.25"/>
    <row r="744" hidden="1" x14ac:dyDescent="0.25"/>
    <row r="745" hidden="1" x14ac:dyDescent="0.25"/>
    <row r="746" hidden="1" x14ac:dyDescent="0.25"/>
    <row r="747" hidden="1" x14ac:dyDescent="0.25"/>
    <row r="748" hidden="1" x14ac:dyDescent="0.25"/>
    <row r="749" hidden="1" x14ac:dyDescent="0.25"/>
    <row r="750" hidden="1" x14ac:dyDescent="0.25"/>
    <row r="751" hidden="1" x14ac:dyDescent="0.25"/>
    <row r="752" hidden="1" x14ac:dyDescent="0.25"/>
    <row r="753" hidden="1" x14ac:dyDescent="0.25"/>
    <row r="754" hidden="1" x14ac:dyDescent="0.25"/>
    <row r="755" hidden="1" x14ac:dyDescent="0.25"/>
    <row r="756" hidden="1" x14ac:dyDescent="0.25"/>
    <row r="757" hidden="1" x14ac:dyDescent="0.25"/>
    <row r="758" hidden="1" x14ac:dyDescent="0.25"/>
    <row r="759" hidden="1" x14ac:dyDescent="0.25"/>
    <row r="760" hidden="1" x14ac:dyDescent="0.25"/>
    <row r="761" hidden="1" x14ac:dyDescent="0.25"/>
    <row r="762" hidden="1" x14ac:dyDescent="0.25"/>
    <row r="763" hidden="1" x14ac:dyDescent="0.25"/>
    <row r="764" hidden="1" x14ac:dyDescent="0.25"/>
    <row r="765" hidden="1" x14ac:dyDescent="0.25"/>
    <row r="766" hidden="1" x14ac:dyDescent="0.25"/>
    <row r="767" hidden="1" x14ac:dyDescent="0.25"/>
    <row r="768" hidden="1" x14ac:dyDescent="0.25"/>
    <row r="769" hidden="1" x14ac:dyDescent="0.25"/>
    <row r="770" hidden="1" x14ac:dyDescent="0.25"/>
    <row r="771" hidden="1" x14ac:dyDescent="0.25"/>
    <row r="772" hidden="1" x14ac:dyDescent="0.25"/>
    <row r="773" hidden="1" x14ac:dyDescent="0.25"/>
    <row r="774" hidden="1" x14ac:dyDescent="0.25"/>
    <row r="775" hidden="1" x14ac:dyDescent="0.25"/>
    <row r="776" hidden="1" x14ac:dyDescent="0.25"/>
    <row r="777" hidden="1" x14ac:dyDescent="0.25"/>
    <row r="778" hidden="1" x14ac:dyDescent="0.25"/>
    <row r="779" hidden="1" x14ac:dyDescent="0.25"/>
    <row r="780" hidden="1" x14ac:dyDescent="0.25"/>
    <row r="781" hidden="1" x14ac:dyDescent="0.25"/>
    <row r="782" hidden="1" x14ac:dyDescent="0.25"/>
    <row r="783" hidden="1" x14ac:dyDescent="0.25"/>
    <row r="784" hidden="1" x14ac:dyDescent="0.25"/>
    <row r="785" hidden="1" x14ac:dyDescent="0.25"/>
    <row r="786" hidden="1" x14ac:dyDescent="0.25"/>
    <row r="787" hidden="1" x14ac:dyDescent="0.25"/>
    <row r="788" hidden="1" x14ac:dyDescent="0.25"/>
    <row r="789" hidden="1" x14ac:dyDescent="0.25"/>
    <row r="790" hidden="1" x14ac:dyDescent="0.25"/>
    <row r="791" hidden="1" x14ac:dyDescent="0.25"/>
    <row r="792" hidden="1" x14ac:dyDescent="0.25"/>
    <row r="793" hidden="1" x14ac:dyDescent="0.25"/>
    <row r="794" hidden="1" x14ac:dyDescent="0.25"/>
    <row r="795" hidden="1" x14ac:dyDescent="0.25"/>
    <row r="796" hidden="1" x14ac:dyDescent="0.25"/>
    <row r="797" hidden="1" x14ac:dyDescent="0.25"/>
    <row r="798" hidden="1" x14ac:dyDescent="0.25"/>
    <row r="799" hidden="1" x14ac:dyDescent="0.25"/>
    <row r="800" hidden="1" x14ac:dyDescent="0.25"/>
    <row r="801" hidden="1" x14ac:dyDescent="0.25"/>
    <row r="802" hidden="1" x14ac:dyDescent="0.25"/>
    <row r="803" hidden="1" x14ac:dyDescent="0.25"/>
    <row r="804" hidden="1" x14ac:dyDescent="0.25"/>
    <row r="805" hidden="1" x14ac:dyDescent="0.25"/>
    <row r="806" hidden="1" x14ac:dyDescent="0.25"/>
    <row r="807" hidden="1" x14ac:dyDescent="0.25"/>
    <row r="808" hidden="1" x14ac:dyDescent="0.25"/>
    <row r="809" hidden="1" x14ac:dyDescent="0.25"/>
    <row r="810" hidden="1" x14ac:dyDescent="0.25"/>
    <row r="811" hidden="1" x14ac:dyDescent="0.25"/>
    <row r="812" hidden="1" x14ac:dyDescent="0.25"/>
    <row r="813" hidden="1" x14ac:dyDescent="0.25"/>
    <row r="814" hidden="1" x14ac:dyDescent="0.25"/>
    <row r="815" hidden="1" x14ac:dyDescent="0.25"/>
    <row r="816" hidden="1" x14ac:dyDescent="0.25"/>
    <row r="817" hidden="1" x14ac:dyDescent="0.25"/>
    <row r="818" hidden="1" x14ac:dyDescent="0.25"/>
    <row r="819" hidden="1" x14ac:dyDescent="0.25"/>
    <row r="820" hidden="1" x14ac:dyDescent="0.25"/>
    <row r="821" hidden="1" x14ac:dyDescent="0.25"/>
    <row r="822" hidden="1" x14ac:dyDescent="0.25"/>
    <row r="823" hidden="1" x14ac:dyDescent="0.25"/>
    <row r="824" hidden="1" x14ac:dyDescent="0.25"/>
    <row r="825" hidden="1" x14ac:dyDescent="0.25"/>
    <row r="826" hidden="1" x14ac:dyDescent="0.25"/>
    <row r="827" hidden="1" x14ac:dyDescent="0.25"/>
    <row r="828" hidden="1" x14ac:dyDescent="0.25"/>
    <row r="829" hidden="1" x14ac:dyDescent="0.25"/>
    <row r="830" hidden="1" x14ac:dyDescent="0.25"/>
    <row r="831" hidden="1" x14ac:dyDescent="0.25"/>
    <row r="832" hidden="1" x14ac:dyDescent="0.25"/>
    <row r="833" hidden="1" x14ac:dyDescent="0.25"/>
    <row r="834" hidden="1" x14ac:dyDescent="0.25"/>
    <row r="835" hidden="1" x14ac:dyDescent="0.25"/>
    <row r="836" hidden="1" x14ac:dyDescent="0.25"/>
    <row r="837" hidden="1" x14ac:dyDescent="0.25"/>
    <row r="838" hidden="1" x14ac:dyDescent="0.25"/>
    <row r="839" hidden="1" x14ac:dyDescent="0.25"/>
    <row r="840" hidden="1" x14ac:dyDescent="0.25"/>
    <row r="841" hidden="1" x14ac:dyDescent="0.25"/>
    <row r="842" hidden="1" x14ac:dyDescent="0.25"/>
    <row r="843" hidden="1" x14ac:dyDescent="0.25"/>
    <row r="844" hidden="1" x14ac:dyDescent="0.25"/>
    <row r="845" hidden="1" x14ac:dyDescent="0.25"/>
    <row r="846" hidden="1" x14ac:dyDescent="0.25"/>
    <row r="847" hidden="1" x14ac:dyDescent="0.25"/>
    <row r="848" hidden="1" x14ac:dyDescent="0.25"/>
    <row r="849" hidden="1" x14ac:dyDescent="0.25"/>
    <row r="850" hidden="1" x14ac:dyDescent="0.25"/>
    <row r="851" hidden="1" x14ac:dyDescent="0.25"/>
    <row r="852" hidden="1" x14ac:dyDescent="0.25"/>
    <row r="853" hidden="1" x14ac:dyDescent="0.25"/>
    <row r="854" hidden="1" x14ac:dyDescent="0.25"/>
    <row r="855" hidden="1" x14ac:dyDescent="0.25"/>
    <row r="856" hidden="1" x14ac:dyDescent="0.25"/>
    <row r="857" hidden="1" x14ac:dyDescent="0.25"/>
    <row r="858" hidden="1" x14ac:dyDescent="0.25"/>
    <row r="859" hidden="1" x14ac:dyDescent="0.25"/>
    <row r="860" hidden="1" x14ac:dyDescent="0.25"/>
    <row r="861" hidden="1" x14ac:dyDescent="0.25"/>
    <row r="862" hidden="1" x14ac:dyDescent="0.25"/>
    <row r="863" hidden="1" x14ac:dyDescent="0.25"/>
    <row r="864" hidden="1" x14ac:dyDescent="0.25"/>
    <row r="865" hidden="1" x14ac:dyDescent="0.25"/>
    <row r="866" hidden="1" x14ac:dyDescent="0.25"/>
    <row r="867" hidden="1" x14ac:dyDescent="0.25"/>
    <row r="868" hidden="1" x14ac:dyDescent="0.25"/>
    <row r="869" hidden="1" x14ac:dyDescent="0.25"/>
    <row r="870" hidden="1" x14ac:dyDescent="0.25"/>
    <row r="871" hidden="1" x14ac:dyDescent="0.25"/>
    <row r="872" hidden="1" x14ac:dyDescent="0.25"/>
    <row r="873" hidden="1" x14ac:dyDescent="0.25"/>
    <row r="874" hidden="1" x14ac:dyDescent="0.25"/>
    <row r="875" hidden="1" x14ac:dyDescent="0.25"/>
    <row r="876" hidden="1" x14ac:dyDescent="0.25"/>
    <row r="877" hidden="1" x14ac:dyDescent="0.25"/>
    <row r="878" hidden="1" x14ac:dyDescent="0.25"/>
    <row r="879" hidden="1" x14ac:dyDescent="0.25"/>
    <row r="880" hidden="1" x14ac:dyDescent="0.25"/>
    <row r="881" hidden="1" x14ac:dyDescent="0.25"/>
    <row r="882" hidden="1" x14ac:dyDescent="0.25"/>
    <row r="883" hidden="1" x14ac:dyDescent="0.25"/>
    <row r="884" hidden="1" x14ac:dyDescent="0.25"/>
    <row r="885" hidden="1" x14ac:dyDescent="0.25"/>
    <row r="886" hidden="1" x14ac:dyDescent="0.25"/>
    <row r="887" hidden="1" x14ac:dyDescent="0.25"/>
    <row r="888" hidden="1" x14ac:dyDescent="0.25"/>
    <row r="889" hidden="1" x14ac:dyDescent="0.25"/>
    <row r="890" hidden="1" x14ac:dyDescent="0.25"/>
    <row r="891" hidden="1" x14ac:dyDescent="0.25"/>
    <row r="892" hidden="1" x14ac:dyDescent="0.25"/>
    <row r="893" hidden="1" x14ac:dyDescent="0.25"/>
    <row r="894" hidden="1" x14ac:dyDescent="0.25"/>
    <row r="895" hidden="1" x14ac:dyDescent="0.25"/>
    <row r="896" hidden="1" x14ac:dyDescent="0.25"/>
    <row r="897" hidden="1" x14ac:dyDescent="0.25"/>
    <row r="898" hidden="1" x14ac:dyDescent="0.25"/>
    <row r="899" hidden="1" x14ac:dyDescent="0.25"/>
    <row r="900" hidden="1" x14ac:dyDescent="0.25"/>
    <row r="901" hidden="1" x14ac:dyDescent="0.25"/>
    <row r="902" hidden="1" x14ac:dyDescent="0.25"/>
    <row r="903" hidden="1" x14ac:dyDescent="0.25"/>
    <row r="904" hidden="1" x14ac:dyDescent="0.25"/>
    <row r="905" hidden="1" x14ac:dyDescent="0.25"/>
    <row r="906" hidden="1" x14ac:dyDescent="0.25"/>
    <row r="907" hidden="1" x14ac:dyDescent="0.25"/>
    <row r="908" hidden="1" x14ac:dyDescent="0.25"/>
    <row r="909" hidden="1" x14ac:dyDescent="0.25"/>
    <row r="910" hidden="1" x14ac:dyDescent="0.25"/>
    <row r="911" hidden="1" x14ac:dyDescent="0.25"/>
    <row r="912" hidden="1" x14ac:dyDescent="0.25"/>
    <row r="913" hidden="1" x14ac:dyDescent="0.25"/>
    <row r="914" hidden="1" x14ac:dyDescent="0.25"/>
    <row r="915" hidden="1" x14ac:dyDescent="0.25"/>
    <row r="916" hidden="1" x14ac:dyDescent="0.25"/>
    <row r="917" hidden="1" x14ac:dyDescent="0.25"/>
    <row r="918" hidden="1" x14ac:dyDescent="0.25"/>
    <row r="919" hidden="1" x14ac:dyDescent="0.25"/>
    <row r="920" hidden="1" x14ac:dyDescent="0.25"/>
    <row r="921" hidden="1" x14ac:dyDescent="0.25"/>
    <row r="922" hidden="1" x14ac:dyDescent="0.25"/>
    <row r="923" hidden="1" x14ac:dyDescent="0.25"/>
    <row r="924" hidden="1" x14ac:dyDescent="0.25"/>
    <row r="925" hidden="1" x14ac:dyDescent="0.25"/>
    <row r="926" hidden="1" x14ac:dyDescent="0.25"/>
    <row r="927" hidden="1" x14ac:dyDescent="0.25"/>
    <row r="928" hidden="1" x14ac:dyDescent="0.25"/>
    <row r="929" hidden="1" x14ac:dyDescent="0.25"/>
    <row r="930" hidden="1" x14ac:dyDescent="0.25"/>
    <row r="931" hidden="1" x14ac:dyDescent="0.25"/>
    <row r="932" hidden="1" x14ac:dyDescent="0.25"/>
    <row r="933" hidden="1" x14ac:dyDescent="0.25"/>
    <row r="934" hidden="1" x14ac:dyDescent="0.25"/>
    <row r="935" hidden="1" x14ac:dyDescent="0.25"/>
    <row r="936" hidden="1" x14ac:dyDescent="0.25"/>
    <row r="937" hidden="1" x14ac:dyDescent="0.25"/>
    <row r="938" hidden="1" x14ac:dyDescent="0.25"/>
    <row r="939" hidden="1" x14ac:dyDescent="0.25"/>
    <row r="940" hidden="1" x14ac:dyDescent="0.25"/>
    <row r="941" hidden="1" x14ac:dyDescent="0.25"/>
    <row r="942" hidden="1" x14ac:dyDescent="0.25"/>
    <row r="943" hidden="1" x14ac:dyDescent="0.25"/>
    <row r="944" hidden="1" x14ac:dyDescent="0.25"/>
    <row r="945" hidden="1" x14ac:dyDescent="0.25"/>
    <row r="946" hidden="1" x14ac:dyDescent="0.25"/>
    <row r="947" hidden="1" x14ac:dyDescent="0.25"/>
    <row r="948" hidden="1" x14ac:dyDescent="0.25"/>
    <row r="949" hidden="1" x14ac:dyDescent="0.25"/>
    <row r="950" hidden="1" x14ac:dyDescent="0.25"/>
    <row r="951" hidden="1" x14ac:dyDescent="0.25"/>
    <row r="952" hidden="1" x14ac:dyDescent="0.25"/>
    <row r="953" hidden="1" x14ac:dyDescent="0.25"/>
    <row r="954" hidden="1" x14ac:dyDescent="0.25"/>
    <row r="955" hidden="1" x14ac:dyDescent="0.25"/>
    <row r="956" hidden="1" x14ac:dyDescent="0.25"/>
    <row r="957" hidden="1" x14ac:dyDescent="0.25"/>
    <row r="958" hidden="1" x14ac:dyDescent="0.25"/>
    <row r="959" hidden="1" x14ac:dyDescent="0.25"/>
    <row r="960" hidden="1" x14ac:dyDescent="0.25"/>
    <row r="961" hidden="1" x14ac:dyDescent="0.25"/>
    <row r="962" hidden="1" x14ac:dyDescent="0.25"/>
    <row r="963" hidden="1" x14ac:dyDescent="0.25"/>
    <row r="964" hidden="1" x14ac:dyDescent="0.25"/>
    <row r="965" hidden="1" x14ac:dyDescent="0.25"/>
    <row r="966" hidden="1" x14ac:dyDescent="0.25"/>
    <row r="967" hidden="1" x14ac:dyDescent="0.25"/>
    <row r="968" hidden="1" x14ac:dyDescent="0.25"/>
    <row r="969" hidden="1" x14ac:dyDescent="0.25"/>
    <row r="970" hidden="1" x14ac:dyDescent="0.25"/>
    <row r="971" hidden="1" x14ac:dyDescent="0.25"/>
    <row r="972" hidden="1" x14ac:dyDescent="0.25"/>
    <row r="973" hidden="1" x14ac:dyDescent="0.25"/>
    <row r="974" hidden="1" x14ac:dyDescent="0.25"/>
    <row r="975" hidden="1" x14ac:dyDescent="0.25"/>
    <row r="976" hidden="1" x14ac:dyDescent="0.25"/>
    <row r="977" hidden="1" x14ac:dyDescent="0.25"/>
    <row r="978" hidden="1" x14ac:dyDescent="0.25"/>
    <row r="979" hidden="1" x14ac:dyDescent="0.25"/>
    <row r="980" hidden="1" x14ac:dyDescent="0.25"/>
    <row r="981" hidden="1" x14ac:dyDescent="0.25"/>
    <row r="982" hidden="1" x14ac:dyDescent="0.25"/>
    <row r="983" hidden="1" x14ac:dyDescent="0.25"/>
    <row r="984" hidden="1" x14ac:dyDescent="0.25"/>
    <row r="985" hidden="1" x14ac:dyDescent="0.25"/>
    <row r="986" hidden="1" x14ac:dyDescent="0.25"/>
    <row r="987" hidden="1" x14ac:dyDescent="0.25"/>
    <row r="988" hidden="1" x14ac:dyDescent="0.25"/>
    <row r="989" hidden="1" x14ac:dyDescent="0.25"/>
    <row r="990" hidden="1" x14ac:dyDescent="0.25"/>
    <row r="991" hidden="1" x14ac:dyDescent="0.25"/>
    <row r="992" hidden="1" x14ac:dyDescent="0.25"/>
    <row r="993" hidden="1" x14ac:dyDescent="0.25"/>
    <row r="994" hidden="1" x14ac:dyDescent="0.25"/>
    <row r="995" hidden="1" x14ac:dyDescent="0.25"/>
    <row r="996" hidden="1" x14ac:dyDescent="0.25"/>
    <row r="997" hidden="1" x14ac:dyDescent="0.25"/>
    <row r="998" hidden="1" x14ac:dyDescent="0.25"/>
    <row r="999" hidden="1" x14ac:dyDescent="0.25"/>
    <row r="1000" hidden="1" x14ac:dyDescent="0.25"/>
    <row r="1001" hidden="1" x14ac:dyDescent="0.25"/>
    <row r="1002" hidden="1" x14ac:dyDescent="0.25"/>
    <row r="1003" hidden="1" x14ac:dyDescent="0.25"/>
    <row r="1004" hidden="1" x14ac:dyDescent="0.25"/>
    <row r="1005" hidden="1" x14ac:dyDescent="0.25"/>
    <row r="1006" hidden="1" x14ac:dyDescent="0.25"/>
    <row r="1007" hidden="1" x14ac:dyDescent="0.25"/>
    <row r="1008" hidden="1" x14ac:dyDescent="0.25"/>
    <row r="1009" hidden="1" x14ac:dyDescent="0.25"/>
    <row r="1010" hidden="1" x14ac:dyDescent="0.25"/>
    <row r="1011" hidden="1" x14ac:dyDescent="0.25"/>
    <row r="1012" hidden="1" x14ac:dyDescent="0.25"/>
    <row r="1013" hidden="1" x14ac:dyDescent="0.25"/>
    <row r="1014" hidden="1" x14ac:dyDescent="0.25"/>
    <row r="1015" hidden="1" x14ac:dyDescent="0.25"/>
    <row r="1016" hidden="1" x14ac:dyDescent="0.25"/>
    <row r="1017" hidden="1" x14ac:dyDescent="0.25"/>
    <row r="1018" hidden="1" x14ac:dyDescent="0.25"/>
    <row r="1019" hidden="1" x14ac:dyDescent="0.25"/>
    <row r="1020" hidden="1" x14ac:dyDescent="0.25"/>
    <row r="1021" hidden="1" x14ac:dyDescent="0.25"/>
    <row r="1022" hidden="1" x14ac:dyDescent="0.25"/>
    <row r="1023" hidden="1" x14ac:dyDescent="0.25"/>
    <row r="1024" hidden="1" x14ac:dyDescent="0.25"/>
    <row r="1025" hidden="1" x14ac:dyDescent="0.25"/>
    <row r="1026" hidden="1" x14ac:dyDescent="0.25"/>
    <row r="1027" hidden="1" x14ac:dyDescent="0.25"/>
    <row r="1028" hidden="1" x14ac:dyDescent="0.25"/>
    <row r="1029" hidden="1" x14ac:dyDescent="0.25"/>
    <row r="1030" hidden="1" x14ac:dyDescent="0.25"/>
    <row r="1031" hidden="1" x14ac:dyDescent="0.25"/>
    <row r="1032" hidden="1" x14ac:dyDescent="0.25"/>
    <row r="1033" hidden="1" x14ac:dyDescent="0.25"/>
    <row r="1034" hidden="1" x14ac:dyDescent="0.25"/>
    <row r="1035" hidden="1" x14ac:dyDescent="0.25"/>
    <row r="1036" hidden="1" x14ac:dyDescent="0.25"/>
    <row r="1037" hidden="1" x14ac:dyDescent="0.25"/>
    <row r="1038" hidden="1" x14ac:dyDescent="0.25"/>
    <row r="1039" hidden="1" x14ac:dyDescent="0.25"/>
    <row r="1040" hidden="1" x14ac:dyDescent="0.25"/>
    <row r="1041" hidden="1" x14ac:dyDescent="0.25"/>
    <row r="1042" hidden="1" x14ac:dyDescent="0.25"/>
    <row r="1043" hidden="1" x14ac:dyDescent="0.25"/>
    <row r="1044" hidden="1" x14ac:dyDescent="0.25"/>
    <row r="1045" hidden="1" x14ac:dyDescent="0.25"/>
    <row r="1046" hidden="1" x14ac:dyDescent="0.25"/>
    <row r="1047" hidden="1" x14ac:dyDescent="0.25"/>
    <row r="1048" hidden="1" x14ac:dyDescent="0.25"/>
    <row r="1049" hidden="1" x14ac:dyDescent="0.25"/>
    <row r="1050" hidden="1" x14ac:dyDescent="0.25"/>
    <row r="1051" hidden="1" x14ac:dyDescent="0.25"/>
    <row r="1052" hidden="1" x14ac:dyDescent="0.25"/>
    <row r="1053" hidden="1" x14ac:dyDescent="0.25"/>
    <row r="1054" hidden="1" x14ac:dyDescent="0.25"/>
    <row r="1055" hidden="1" x14ac:dyDescent="0.25"/>
    <row r="1056" hidden="1" x14ac:dyDescent="0.25"/>
    <row r="1057" hidden="1" x14ac:dyDescent="0.25"/>
    <row r="1058" hidden="1" x14ac:dyDescent="0.25"/>
    <row r="1059" hidden="1" x14ac:dyDescent="0.25"/>
    <row r="1060" hidden="1" x14ac:dyDescent="0.25"/>
    <row r="1061" hidden="1" x14ac:dyDescent="0.25"/>
    <row r="1062" hidden="1" x14ac:dyDescent="0.25"/>
    <row r="1063" hidden="1" x14ac:dyDescent="0.25"/>
    <row r="1064" hidden="1" x14ac:dyDescent="0.25"/>
    <row r="1065" hidden="1" x14ac:dyDescent="0.25"/>
    <row r="1066" hidden="1" x14ac:dyDescent="0.25"/>
    <row r="1067" hidden="1" x14ac:dyDescent="0.25"/>
    <row r="1068" hidden="1" x14ac:dyDescent="0.25"/>
    <row r="1069" hidden="1" x14ac:dyDescent="0.25"/>
    <row r="1070" hidden="1" x14ac:dyDescent="0.25"/>
    <row r="1071" hidden="1" x14ac:dyDescent="0.25"/>
    <row r="1072" hidden="1" x14ac:dyDescent="0.25"/>
    <row r="1073" hidden="1" x14ac:dyDescent="0.25"/>
    <row r="1074" hidden="1" x14ac:dyDescent="0.25"/>
    <row r="1075" hidden="1" x14ac:dyDescent="0.25"/>
    <row r="1076" hidden="1" x14ac:dyDescent="0.25"/>
    <row r="1077" hidden="1" x14ac:dyDescent="0.25"/>
    <row r="1078" hidden="1" x14ac:dyDescent="0.25"/>
    <row r="1079" hidden="1" x14ac:dyDescent="0.25"/>
    <row r="1080" hidden="1" x14ac:dyDescent="0.25"/>
    <row r="1081" hidden="1" x14ac:dyDescent="0.25"/>
    <row r="1082" hidden="1" x14ac:dyDescent="0.25"/>
    <row r="1083" hidden="1" x14ac:dyDescent="0.25"/>
    <row r="1084" hidden="1" x14ac:dyDescent="0.25"/>
    <row r="1085" hidden="1" x14ac:dyDescent="0.25"/>
    <row r="1086" hidden="1" x14ac:dyDescent="0.25"/>
    <row r="1087" hidden="1" x14ac:dyDescent="0.25"/>
    <row r="1088" hidden="1" x14ac:dyDescent="0.25"/>
    <row r="1089" hidden="1" x14ac:dyDescent="0.25"/>
    <row r="1090" hidden="1" x14ac:dyDescent="0.25"/>
    <row r="1091" hidden="1" x14ac:dyDescent="0.25"/>
    <row r="1092" hidden="1" x14ac:dyDescent="0.25"/>
    <row r="1093" hidden="1" x14ac:dyDescent="0.25"/>
    <row r="1094" hidden="1" x14ac:dyDescent="0.25"/>
    <row r="1095" hidden="1" x14ac:dyDescent="0.25"/>
    <row r="1096" hidden="1" x14ac:dyDescent="0.25"/>
    <row r="1097" hidden="1" x14ac:dyDescent="0.25"/>
    <row r="1098" hidden="1" x14ac:dyDescent="0.25"/>
    <row r="1099" hidden="1" x14ac:dyDescent="0.25"/>
    <row r="1100" hidden="1" x14ac:dyDescent="0.25"/>
    <row r="1101" hidden="1" x14ac:dyDescent="0.25"/>
    <row r="1102" hidden="1" x14ac:dyDescent="0.25"/>
    <row r="1103" hidden="1" x14ac:dyDescent="0.25"/>
    <row r="1104" hidden="1" x14ac:dyDescent="0.25"/>
    <row r="1105" hidden="1" x14ac:dyDescent="0.25"/>
    <row r="1106" hidden="1" x14ac:dyDescent="0.25"/>
    <row r="1107" hidden="1" x14ac:dyDescent="0.25"/>
    <row r="1108" hidden="1" x14ac:dyDescent="0.25"/>
    <row r="1109" hidden="1" x14ac:dyDescent="0.25"/>
    <row r="1110" hidden="1" x14ac:dyDescent="0.25"/>
    <row r="1111" hidden="1" x14ac:dyDescent="0.25"/>
    <row r="1112" hidden="1" x14ac:dyDescent="0.25"/>
    <row r="1113" hidden="1" x14ac:dyDescent="0.25"/>
    <row r="1114" hidden="1" x14ac:dyDescent="0.25"/>
    <row r="1115" hidden="1" x14ac:dyDescent="0.25"/>
    <row r="1116" hidden="1" x14ac:dyDescent="0.25"/>
    <row r="1117" hidden="1" x14ac:dyDescent="0.25"/>
    <row r="1118" hidden="1" x14ac:dyDescent="0.25"/>
    <row r="1119" hidden="1" x14ac:dyDescent="0.25"/>
    <row r="1120" hidden="1" x14ac:dyDescent="0.25"/>
    <row r="1121" hidden="1" x14ac:dyDescent="0.25"/>
    <row r="1122" hidden="1" x14ac:dyDescent="0.25"/>
    <row r="1123" hidden="1" x14ac:dyDescent="0.25"/>
    <row r="1124" hidden="1" x14ac:dyDescent="0.25"/>
    <row r="1125" hidden="1" x14ac:dyDescent="0.25"/>
    <row r="1126" hidden="1" x14ac:dyDescent="0.25"/>
    <row r="1127" hidden="1" x14ac:dyDescent="0.25"/>
    <row r="1128" hidden="1" x14ac:dyDescent="0.25"/>
    <row r="1129" hidden="1" x14ac:dyDescent="0.25"/>
    <row r="1130" hidden="1" x14ac:dyDescent="0.25"/>
    <row r="1131" hidden="1" x14ac:dyDescent="0.25"/>
    <row r="1132" hidden="1" x14ac:dyDescent="0.25"/>
    <row r="1133" hidden="1" x14ac:dyDescent="0.25"/>
    <row r="1134" hidden="1" x14ac:dyDescent="0.25"/>
    <row r="1135" hidden="1" x14ac:dyDescent="0.25"/>
    <row r="1136" hidden="1" x14ac:dyDescent="0.25"/>
    <row r="1137" hidden="1" x14ac:dyDescent="0.25"/>
    <row r="1138" hidden="1" x14ac:dyDescent="0.25"/>
    <row r="1139" hidden="1" x14ac:dyDescent="0.25"/>
    <row r="1140" hidden="1" x14ac:dyDescent="0.25"/>
    <row r="1141" hidden="1" x14ac:dyDescent="0.25"/>
    <row r="1142" hidden="1" x14ac:dyDescent="0.25"/>
    <row r="1143" hidden="1" x14ac:dyDescent="0.25"/>
    <row r="1144" hidden="1" x14ac:dyDescent="0.25"/>
    <row r="1145" hidden="1" x14ac:dyDescent="0.25"/>
    <row r="1146" hidden="1" x14ac:dyDescent="0.25"/>
    <row r="1147" hidden="1" x14ac:dyDescent="0.25"/>
    <row r="1148" hidden="1" x14ac:dyDescent="0.25"/>
    <row r="1149" hidden="1" x14ac:dyDescent="0.25"/>
    <row r="1150" hidden="1" x14ac:dyDescent="0.25"/>
    <row r="1151" hidden="1" x14ac:dyDescent="0.25"/>
    <row r="1152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  <row r="1182" hidden="1" x14ac:dyDescent="0.25"/>
    <row r="1183" hidden="1" x14ac:dyDescent="0.25"/>
    <row r="1184" hidden="1" x14ac:dyDescent="0.25"/>
    <row r="1185" hidden="1" x14ac:dyDescent="0.25"/>
    <row r="1186" hidden="1" x14ac:dyDescent="0.25"/>
    <row r="1187" hidden="1" x14ac:dyDescent="0.25"/>
    <row r="1188" hidden="1" x14ac:dyDescent="0.25"/>
    <row r="1189" hidden="1" x14ac:dyDescent="0.25"/>
    <row r="1190" hidden="1" x14ac:dyDescent="0.25"/>
    <row r="1191" hidden="1" x14ac:dyDescent="0.25"/>
    <row r="1192" hidden="1" x14ac:dyDescent="0.25"/>
    <row r="1193" hidden="1" x14ac:dyDescent="0.25"/>
    <row r="1194" hidden="1" x14ac:dyDescent="0.25"/>
    <row r="1195" hidden="1" x14ac:dyDescent="0.25"/>
    <row r="1196" hidden="1" x14ac:dyDescent="0.25"/>
    <row r="1197" hidden="1" x14ac:dyDescent="0.25"/>
    <row r="1198" hidden="1" x14ac:dyDescent="0.25"/>
    <row r="1199" hidden="1" x14ac:dyDescent="0.25"/>
    <row r="1200" hidden="1" x14ac:dyDescent="0.25"/>
    <row r="1201" hidden="1" x14ac:dyDescent="0.25"/>
    <row r="1202" hidden="1" x14ac:dyDescent="0.25"/>
    <row r="1203" hidden="1" x14ac:dyDescent="0.25"/>
    <row r="1204" hidden="1" x14ac:dyDescent="0.25"/>
    <row r="1205" hidden="1" x14ac:dyDescent="0.25"/>
    <row r="1206" hidden="1" x14ac:dyDescent="0.25"/>
    <row r="1207" hidden="1" x14ac:dyDescent="0.25"/>
    <row r="1208" hidden="1" x14ac:dyDescent="0.25"/>
    <row r="1209" hidden="1" x14ac:dyDescent="0.25"/>
    <row r="1210" hidden="1" x14ac:dyDescent="0.25"/>
    <row r="1211" hidden="1" x14ac:dyDescent="0.25"/>
    <row r="1212" hidden="1" x14ac:dyDescent="0.25"/>
    <row r="1213" hidden="1" x14ac:dyDescent="0.25"/>
    <row r="1214" hidden="1" x14ac:dyDescent="0.25"/>
    <row r="1215" hidden="1" x14ac:dyDescent="0.25"/>
    <row r="1216" hidden="1" x14ac:dyDescent="0.25"/>
    <row r="1217" hidden="1" x14ac:dyDescent="0.25"/>
    <row r="1218" hidden="1" x14ac:dyDescent="0.25"/>
    <row r="1219" hidden="1" x14ac:dyDescent="0.25"/>
    <row r="1220" hidden="1" x14ac:dyDescent="0.25"/>
    <row r="1221" hidden="1" x14ac:dyDescent="0.25"/>
    <row r="1222" hidden="1" x14ac:dyDescent="0.25"/>
    <row r="1223" hidden="1" x14ac:dyDescent="0.25"/>
    <row r="1224" hidden="1" x14ac:dyDescent="0.25"/>
    <row r="1225" hidden="1" x14ac:dyDescent="0.25"/>
    <row r="1226" hidden="1" x14ac:dyDescent="0.25"/>
    <row r="1227" hidden="1" x14ac:dyDescent="0.25"/>
    <row r="1228" hidden="1" x14ac:dyDescent="0.25"/>
    <row r="1229" hidden="1" x14ac:dyDescent="0.25"/>
    <row r="1230" hidden="1" x14ac:dyDescent="0.25"/>
    <row r="1231" hidden="1" x14ac:dyDescent="0.25"/>
    <row r="1232" hidden="1" x14ac:dyDescent="0.25"/>
    <row r="1233" hidden="1" x14ac:dyDescent="0.25"/>
    <row r="1234" hidden="1" x14ac:dyDescent="0.25"/>
    <row r="1235" hidden="1" x14ac:dyDescent="0.25"/>
    <row r="1236" hidden="1" x14ac:dyDescent="0.25"/>
    <row r="1237" hidden="1" x14ac:dyDescent="0.25"/>
    <row r="1238" hidden="1" x14ac:dyDescent="0.25"/>
    <row r="1239" hidden="1" x14ac:dyDescent="0.25"/>
    <row r="1240" hidden="1" x14ac:dyDescent="0.25"/>
    <row r="1241" hidden="1" x14ac:dyDescent="0.25"/>
    <row r="1242" hidden="1" x14ac:dyDescent="0.25"/>
    <row r="1243" hidden="1" x14ac:dyDescent="0.25"/>
    <row r="1244" hidden="1" x14ac:dyDescent="0.25"/>
    <row r="1245" hidden="1" x14ac:dyDescent="0.25"/>
    <row r="1246" hidden="1" x14ac:dyDescent="0.25"/>
    <row r="1247" hidden="1" x14ac:dyDescent="0.25"/>
    <row r="1248" hidden="1" x14ac:dyDescent="0.25"/>
    <row r="1249" hidden="1" x14ac:dyDescent="0.25"/>
    <row r="1250" hidden="1" x14ac:dyDescent="0.25"/>
    <row r="1251" hidden="1" x14ac:dyDescent="0.25"/>
    <row r="1252" hidden="1" x14ac:dyDescent="0.25"/>
    <row r="1253" hidden="1" x14ac:dyDescent="0.25"/>
    <row r="1254" hidden="1" x14ac:dyDescent="0.25"/>
    <row r="1255" hidden="1" x14ac:dyDescent="0.25"/>
    <row r="1256" hidden="1" x14ac:dyDescent="0.25"/>
    <row r="1257" hidden="1" x14ac:dyDescent="0.25"/>
    <row r="1258" hidden="1" x14ac:dyDescent="0.25"/>
    <row r="1259" hidden="1" x14ac:dyDescent="0.25"/>
    <row r="1260" hidden="1" x14ac:dyDescent="0.25"/>
    <row r="1261" hidden="1" x14ac:dyDescent="0.25"/>
    <row r="1262" hidden="1" x14ac:dyDescent="0.25"/>
    <row r="1263" hidden="1" x14ac:dyDescent="0.25"/>
    <row r="1264" hidden="1" x14ac:dyDescent="0.25"/>
    <row r="1265" hidden="1" x14ac:dyDescent="0.25"/>
    <row r="1266" hidden="1" x14ac:dyDescent="0.25"/>
    <row r="1267" hidden="1" x14ac:dyDescent="0.25"/>
    <row r="1268" hidden="1" x14ac:dyDescent="0.25"/>
    <row r="1269" hidden="1" x14ac:dyDescent="0.25"/>
    <row r="1270" hidden="1" x14ac:dyDescent="0.25"/>
    <row r="1271" hidden="1" x14ac:dyDescent="0.25"/>
    <row r="1272" hidden="1" x14ac:dyDescent="0.25"/>
    <row r="1273" hidden="1" x14ac:dyDescent="0.25"/>
    <row r="1274" hidden="1" x14ac:dyDescent="0.25"/>
    <row r="1275" hidden="1" x14ac:dyDescent="0.25"/>
    <row r="1276" hidden="1" x14ac:dyDescent="0.25"/>
    <row r="1277" hidden="1" x14ac:dyDescent="0.25"/>
    <row r="1278" hidden="1" x14ac:dyDescent="0.25"/>
    <row r="1279" hidden="1" x14ac:dyDescent="0.25"/>
    <row r="1280" hidden="1" x14ac:dyDescent="0.25"/>
    <row r="1281" hidden="1" x14ac:dyDescent="0.25"/>
    <row r="1282" hidden="1" x14ac:dyDescent="0.25"/>
    <row r="1283" hidden="1" x14ac:dyDescent="0.25"/>
    <row r="1284" hidden="1" x14ac:dyDescent="0.25"/>
    <row r="1285" hidden="1" x14ac:dyDescent="0.25"/>
    <row r="1286" hidden="1" x14ac:dyDescent="0.25"/>
    <row r="1287" hidden="1" x14ac:dyDescent="0.25"/>
    <row r="1288" hidden="1" x14ac:dyDescent="0.25"/>
    <row r="1289" hidden="1" x14ac:dyDescent="0.25"/>
    <row r="1290" hidden="1" x14ac:dyDescent="0.25"/>
    <row r="1291" hidden="1" x14ac:dyDescent="0.25"/>
    <row r="1292" hidden="1" x14ac:dyDescent="0.25"/>
    <row r="1293" hidden="1" x14ac:dyDescent="0.25"/>
    <row r="1294" hidden="1" x14ac:dyDescent="0.25"/>
    <row r="1295" hidden="1" x14ac:dyDescent="0.25"/>
    <row r="1296" hidden="1" x14ac:dyDescent="0.25"/>
    <row r="1297" hidden="1" x14ac:dyDescent="0.25"/>
    <row r="1298" hidden="1" x14ac:dyDescent="0.25"/>
    <row r="1299" hidden="1" x14ac:dyDescent="0.25"/>
    <row r="1300" hidden="1" x14ac:dyDescent="0.25"/>
    <row r="1301" hidden="1" x14ac:dyDescent="0.25"/>
    <row r="1302" hidden="1" x14ac:dyDescent="0.25"/>
    <row r="1303" hidden="1" x14ac:dyDescent="0.25"/>
    <row r="1304" hidden="1" x14ac:dyDescent="0.25"/>
    <row r="1305" hidden="1" x14ac:dyDescent="0.25"/>
    <row r="1306" hidden="1" x14ac:dyDescent="0.25"/>
    <row r="1307" hidden="1" x14ac:dyDescent="0.25"/>
    <row r="1308" hidden="1" x14ac:dyDescent="0.25"/>
    <row r="1309" hidden="1" x14ac:dyDescent="0.25"/>
    <row r="1310" hidden="1" x14ac:dyDescent="0.25"/>
    <row r="1311" hidden="1" x14ac:dyDescent="0.25"/>
    <row r="1312" hidden="1" x14ac:dyDescent="0.25"/>
    <row r="1313" hidden="1" x14ac:dyDescent="0.25"/>
    <row r="1314" hidden="1" x14ac:dyDescent="0.25"/>
    <row r="1315" hidden="1" x14ac:dyDescent="0.25"/>
    <row r="1316" hidden="1" x14ac:dyDescent="0.25"/>
    <row r="1317" hidden="1" x14ac:dyDescent="0.25"/>
    <row r="1318" hidden="1" x14ac:dyDescent="0.25"/>
    <row r="1319" hidden="1" x14ac:dyDescent="0.25"/>
    <row r="1320" hidden="1" x14ac:dyDescent="0.25"/>
    <row r="1321" hidden="1" x14ac:dyDescent="0.25"/>
    <row r="1322" hidden="1" x14ac:dyDescent="0.25"/>
    <row r="1323" hidden="1" x14ac:dyDescent="0.25"/>
    <row r="1324" hidden="1" x14ac:dyDescent="0.25"/>
    <row r="1325" hidden="1" x14ac:dyDescent="0.25"/>
    <row r="1326" hidden="1" x14ac:dyDescent="0.25"/>
    <row r="1327" hidden="1" x14ac:dyDescent="0.25"/>
    <row r="1328" hidden="1" x14ac:dyDescent="0.25"/>
    <row r="1329" hidden="1" x14ac:dyDescent="0.25"/>
    <row r="1330" hidden="1" x14ac:dyDescent="0.25"/>
    <row r="1331" hidden="1" x14ac:dyDescent="0.25"/>
    <row r="1332" hidden="1" x14ac:dyDescent="0.25"/>
    <row r="1333" hidden="1" x14ac:dyDescent="0.25"/>
    <row r="1334" hidden="1" x14ac:dyDescent="0.25"/>
    <row r="1335" hidden="1" x14ac:dyDescent="0.25"/>
    <row r="1336" hidden="1" x14ac:dyDescent="0.25"/>
    <row r="1337" hidden="1" x14ac:dyDescent="0.25"/>
    <row r="1338" hidden="1" x14ac:dyDescent="0.25"/>
    <row r="1339" hidden="1" x14ac:dyDescent="0.25"/>
    <row r="1340" hidden="1" x14ac:dyDescent="0.25"/>
    <row r="1341" hidden="1" x14ac:dyDescent="0.25"/>
    <row r="1342" hidden="1" x14ac:dyDescent="0.25"/>
    <row r="1343" hidden="1" x14ac:dyDescent="0.25"/>
    <row r="1344" hidden="1" x14ac:dyDescent="0.25"/>
    <row r="1345" hidden="1" x14ac:dyDescent="0.25"/>
    <row r="1346" hidden="1" x14ac:dyDescent="0.25"/>
    <row r="1347" hidden="1" x14ac:dyDescent="0.25"/>
    <row r="1348" hidden="1" x14ac:dyDescent="0.25"/>
    <row r="1349" hidden="1" x14ac:dyDescent="0.25"/>
    <row r="1350" hidden="1" x14ac:dyDescent="0.25"/>
    <row r="1351" hidden="1" x14ac:dyDescent="0.25"/>
    <row r="1352" hidden="1" x14ac:dyDescent="0.25"/>
    <row r="1353" hidden="1" x14ac:dyDescent="0.25"/>
    <row r="1354" hidden="1" x14ac:dyDescent="0.25"/>
    <row r="1355" hidden="1" x14ac:dyDescent="0.25"/>
    <row r="1356" hidden="1" x14ac:dyDescent="0.25"/>
    <row r="1357" hidden="1" x14ac:dyDescent="0.25"/>
    <row r="1358" hidden="1" x14ac:dyDescent="0.25"/>
    <row r="1359" hidden="1" x14ac:dyDescent="0.25"/>
    <row r="1360" hidden="1" x14ac:dyDescent="0.25"/>
    <row r="1361" hidden="1" x14ac:dyDescent="0.25"/>
    <row r="1362" hidden="1" x14ac:dyDescent="0.25"/>
    <row r="1363" hidden="1" x14ac:dyDescent="0.25"/>
    <row r="1364" hidden="1" x14ac:dyDescent="0.25"/>
    <row r="1365" hidden="1" x14ac:dyDescent="0.25"/>
    <row r="1366" hidden="1" x14ac:dyDescent="0.25"/>
    <row r="1367" hidden="1" x14ac:dyDescent="0.25"/>
    <row r="1368" hidden="1" x14ac:dyDescent="0.25"/>
    <row r="1369" hidden="1" x14ac:dyDescent="0.25"/>
    <row r="1370" hidden="1" x14ac:dyDescent="0.25"/>
    <row r="1371" hidden="1" x14ac:dyDescent="0.25"/>
    <row r="1372" hidden="1" x14ac:dyDescent="0.25"/>
    <row r="1373" hidden="1" x14ac:dyDescent="0.25"/>
    <row r="1374" hidden="1" x14ac:dyDescent="0.25"/>
    <row r="1375" hidden="1" x14ac:dyDescent="0.25"/>
    <row r="1376" hidden="1" x14ac:dyDescent="0.25"/>
    <row r="1377" hidden="1" x14ac:dyDescent="0.25"/>
    <row r="1378" hidden="1" x14ac:dyDescent="0.25"/>
    <row r="1379" hidden="1" x14ac:dyDescent="0.25"/>
    <row r="1380" hidden="1" x14ac:dyDescent="0.25"/>
    <row r="1381" hidden="1" x14ac:dyDescent="0.25"/>
    <row r="1382" hidden="1" x14ac:dyDescent="0.25"/>
    <row r="1383" hidden="1" x14ac:dyDescent="0.25"/>
    <row r="1384" hidden="1" x14ac:dyDescent="0.25"/>
    <row r="1385" hidden="1" x14ac:dyDescent="0.25"/>
    <row r="1386" hidden="1" x14ac:dyDescent="0.25"/>
    <row r="1387" hidden="1" x14ac:dyDescent="0.25"/>
    <row r="1388" hidden="1" x14ac:dyDescent="0.25"/>
    <row r="1389" hidden="1" x14ac:dyDescent="0.25"/>
    <row r="1390" hidden="1" x14ac:dyDescent="0.25"/>
    <row r="1391" hidden="1" x14ac:dyDescent="0.25"/>
    <row r="1392" hidden="1" x14ac:dyDescent="0.25"/>
    <row r="1393" hidden="1" x14ac:dyDescent="0.25"/>
    <row r="1394" hidden="1" x14ac:dyDescent="0.25"/>
    <row r="1395" hidden="1" x14ac:dyDescent="0.25"/>
    <row r="1396" hidden="1" x14ac:dyDescent="0.25"/>
    <row r="1397" hidden="1" x14ac:dyDescent="0.25"/>
    <row r="1398" hidden="1" x14ac:dyDescent="0.25"/>
    <row r="1399" hidden="1" x14ac:dyDescent="0.25"/>
    <row r="1400" hidden="1" x14ac:dyDescent="0.25"/>
    <row r="1401" hidden="1" x14ac:dyDescent="0.25"/>
    <row r="1402" hidden="1" x14ac:dyDescent="0.25"/>
    <row r="1403" hidden="1" x14ac:dyDescent="0.25"/>
    <row r="1404" hidden="1" x14ac:dyDescent="0.25"/>
    <row r="1405" hidden="1" x14ac:dyDescent="0.25"/>
    <row r="1406" hidden="1" x14ac:dyDescent="0.25"/>
    <row r="1407" hidden="1" x14ac:dyDescent="0.25"/>
    <row r="1408" hidden="1" x14ac:dyDescent="0.25"/>
    <row r="1409" hidden="1" x14ac:dyDescent="0.25"/>
    <row r="1410" hidden="1" x14ac:dyDescent="0.25"/>
    <row r="1411" hidden="1" x14ac:dyDescent="0.25"/>
    <row r="1412" hidden="1" x14ac:dyDescent="0.25"/>
    <row r="1413" hidden="1" x14ac:dyDescent="0.25"/>
    <row r="1414" hidden="1" x14ac:dyDescent="0.25"/>
    <row r="1415" hidden="1" x14ac:dyDescent="0.25"/>
    <row r="1416" hidden="1" x14ac:dyDescent="0.25"/>
    <row r="1417" hidden="1" x14ac:dyDescent="0.25"/>
    <row r="1418" hidden="1" x14ac:dyDescent="0.25"/>
    <row r="1419" hidden="1" x14ac:dyDescent="0.25"/>
    <row r="1420" hidden="1" x14ac:dyDescent="0.25"/>
    <row r="1421" hidden="1" x14ac:dyDescent="0.25"/>
    <row r="1422" hidden="1" x14ac:dyDescent="0.25"/>
    <row r="1423" hidden="1" x14ac:dyDescent="0.25"/>
    <row r="1424" hidden="1" x14ac:dyDescent="0.25"/>
    <row r="1425" hidden="1" x14ac:dyDescent="0.25"/>
    <row r="1426" hidden="1" x14ac:dyDescent="0.25"/>
    <row r="1427" hidden="1" x14ac:dyDescent="0.25"/>
    <row r="1428" hidden="1" x14ac:dyDescent="0.25"/>
    <row r="1429" hidden="1" x14ac:dyDescent="0.25"/>
    <row r="1430" hidden="1" x14ac:dyDescent="0.25"/>
    <row r="1431" hidden="1" x14ac:dyDescent="0.25"/>
    <row r="1432" hidden="1" x14ac:dyDescent="0.25"/>
    <row r="1433" hidden="1" x14ac:dyDescent="0.25"/>
    <row r="1434" hidden="1" x14ac:dyDescent="0.25"/>
    <row r="1435" hidden="1" x14ac:dyDescent="0.25"/>
    <row r="1436" hidden="1" x14ac:dyDescent="0.25"/>
    <row r="1437" hidden="1" x14ac:dyDescent="0.25"/>
    <row r="1438" hidden="1" x14ac:dyDescent="0.25"/>
    <row r="1439" hidden="1" x14ac:dyDescent="0.25"/>
    <row r="1440" hidden="1" x14ac:dyDescent="0.25"/>
    <row r="1441" hidden="1" x14ac:dyDescent="0.25"/>
    <row r="1442" hidden="1" x14ac:dyDescent="0.25"/>
    <row r="1443" hidden="1" x14ac:dyDescent="0.25"/>
    <row r="1444" hidden="1" x14ac:dyDescent="0.25"/>
    <row r="1445" hidden="1" x14ac:dyDescent="0.25"/>
    <row r="1446" hidden="1" x14ac:dyDescent="0.25"/>
    <row r="1447" hidden="1" x14ac:dyDescent="0.25"/>
    <row r="1448" hidden="1" x14ac:dyDescent="0.25"/>
    <row r="1449" hidden="1" x14ac:dyDescent="0.25"/>
    <row r="1450" hidden="1" x14ac:dyDescent="0.25"/>
    <row r="1451" hidden="1" x14ac:dyDescent="0.25"/>
    <row r="1452" hidden="1" x14ac:dyDescent="0.25"/>
    <row r="1453" hidden="1" x14ac:dyDescent="0.25"/>
    <row r="1454" hidden="1" x14ac:dyDescent="0.25"/>
    <row r="1455" hidden="1" x14ac:dyDescent="0.25"/>
    <row r="1456" hidden="1" x14ac:dyDescent="0.25"/>
    <row r="1457" hidden="1" x14ac:dyDescent="0.25"/>
    <row r="1458" hidden="1" x14ac:dyDescent="0.25"/>
    <row r="1459" hidden="1" x14ac:dyDescent="0.25"/>
    <row r="1460" hidden="1" x14ac:dyDescent="0.25"/>
    <row r="1461" hidden="1" x14ac:dyDescent="0.25"/>
    <row r="1462" hidden="1" x14ac:dyDescent="0.25"/>
    <row r="1463" hidden="1" x14ac:dyDescent="0.25"/>
    <row r="1464" hidden="1" x14ac:dyDescent="0.25"/>
    <row r="1465" hidden="1" x14ac:dyDescent="0.25"/>
    <row r="1466" hidden="1" x14ac:dyDescent="0.25"/>
    <row r="1467" hidden="1" x14ac:dyDescent="0.25"/>
    <row r="1468" hidden="1" x14ac:dyDescent="0.25"/>
    <row r="1469" hidden="1" x14ac:dyDescent="0.25"/>
    <row r="1470" hidden="1" x14ac:dyDescent="0.25"/>
    <row r="1471" hidden="1" x14ac:dyDescent="0.25"/>
    <row r="1472" hidden="1" x14ac:dyDescent="0.25"/>
    <row r="1473" hidden="1" x14ac:dyDescent="0.25"/>
    <row r="1474" hidden="1" x14ac:dyDescent="0.25"/>
    <row r="1475" hidden="1" x14ac:dyDescent="0.25"/>
    <row r="1476" hidden="1" x14ac:dyDescent="0.25"/>
    <row r="1477" hidden="1" x14ac:dyDescent="0.25"/>
    <row r="1478" hidden="1" x14ac:dyDescent="0.25"/>
    <row r="1479" hidden="1" x14ac:dyDescent="0.25"/>
    <row r="1480" hidden="1" x14ac:dyDescent="0.25"/>
    <row r="1481" hidden="1" x14ac:dyDescent="0.25"/>
    <row r="1482" hidden="1" x14ac:dyDescent="0.25"/>
    <row r="1483" hidden="1" x14ac:dyDescent="0.25"/>
    <row r="1484" hidden="1" x14ac:dyDescent="0.25"/>
    <row r="1485" hidden="1" x14ac:dyDescent="0.25"/>
    <row r="1486" hidden="1" x14ac:dyDescent="0.25"/>
    <row r="1487" hidden="1" x14ac:dyDescent="0.25"/>
    <row r="1488" hidden="1" x14ac:dyDescent="0.25"/>
    <row r="1489" hidden="1" x14ac:dyDescent="0.25"/>
    <row r="1490" hidden="1" x14ac:dyDescent="0.25"/>
    <row r="1491" hidden="1" x14ac:dyDescent="0.25"/>
    <row r="1492" hidden="1" x14ac:dyDescent="0.25"/>
    <row r="1493" hidden="1" x14ac:dyDescent="0.25"/>
    <row r="1494" hidden="1" x14ac:dyDescent="0.25"/>
    <row r="1495" hidden="1" x14ac:dyDescent="0.25"/>
    <row r="1496" hidden="1" x14ac:dyDescent="0.25"/>
    <row r="1497" hidden="1" x14ac:dyDescent="0.25"/>
    <row r="1498" hidden="1" x14ac:dyDescent="0.25"/>
    <row r="1499" hidden="1" x14ac:dyDescent="0.25"/>
    <row r="1500" hidden="1" x14ac:dyDescent="0.25"/>
    <row r="1501" hidden="1" x14ac:dyDescent="0.25"/>
    <row r="1502" hidden="1" x14ac:dyDescent="0.25"/>
    <row r="1503" hidden="1" x14ac:dyDescent="0.25"/>
    <row r="1504" hidden="1" x14ac:dyDescent="0.25"/>
    <row r="1505" hidden="1" x14ac:dyDescent="0.25"/>
    <row r="1506" hidden="1" x14ac:dyDescent="0.25"/>
    <row r="1507" hidden="1" x14ac:dyDescent="0.25"/>
    <row r="1508" hidden="1" x14ac:dyDescent="0.25"/>
    <row r="1509" hidden="1" x14ac:dyDescent="0.25"/>
    <row r="1510" hidden="1" x14ac:dyDescent="0.25"/>
    <row r="1511" hidden="1" x14ac:dyDescent="0.25"/>
    <row r="1512" hidden="1" x14ac:dyDescent="0.25"/>
    <row r="1513" hidden="1" x14ac:dyDescent="0.25"/>
    <row r="1514" hidden="1" x14ac:dyDescent="0.25"/>
    <row r="1515" hidden="1" x14ac:dyDescent="0.25"/>
    <row r="1516" hidden="1" x14ac:dyDescent="0.25"/>
    <row r="1517" hidden="1" x14ac:dyDescent="0.25"/>
    <row r="1518" hidden="1" x14ac:dyDescent="0.25"/>
    <row r="1519" hidden="1" x14ac:dyDescent="0.25"/>
    <row r="1520" hidden="1" x14ac:dyDescent="0.25"/>
    <row r="1521" hidden="1" x14ac:dyDescent="0.25"/>
    <row r="1522" hidden="1" x14ac:dyDescent="0.25"/>
    <row r="1523" hidden="1" x14ac:dyDescent="0.25"/>
    <row r="1524" hidden="1" x14ac:dyDescent="0.25"/>
    <row r="1525" hidden="1" x14ac:dyDescent="0.25"/>
    <row r="1526" hidden="1" x14ac:dyDescent="0.25"/>
    <row r="1527" hidden="1" x14ac:dyDescent="0.25"/>
    <row r="1528" hidden="1" x14ac:dyDescent="0.25"/>
    <row r="1529" hidden="1" x14ac:dyDescent="0.25"/>
    <row r="1530" hidden="1" x14ac:dyDescent="0.25"/>
    <row r="1531" hidden="1" x14ac:dyDescent="0.25"/>
    <row r="1532" hidden="1" x14ac:dyDescent="0.25"/>
    <row r="1533" hidden="1" x14ac:dyDescent="0.25"/>
    <row r="1534" hidden="1" x14ac:dyDescent="0.25"/>
    <row r="1535" hidden="1" x14ac:dyDescent="0.25"/>
    <row r="1536" hidden="1" x14ac:dyDescent="0.25"/>
    <row r="1537" hidden="1" x14ac:dyDescent="0.25"/>
    <row r="1538" hidden="1" x14ac:dyDescent="0.25"/>
    <row r="1539" hidden="1" x14ac:dyDescent="0.25"/>
    <row r="1540" hidden="1" x14ac:dyDescent="0.25"/>
    <row r="1541" hidden="1" x14ac:dyDescent="0.25"/>
    <row r="1542" hidden="1" x14ac:dyDescent="0.25"/>
    <row r="1543" hidden="1" x14ac:dyDescent="0.25"/>
    <row r="1544" hidden="1" x14ac:dyDescent="0.25"/>
    <row r="1545" hidden="1" x14ac:dyDescent="0.25"/>
    <row r="1546" hidden="1" x14ac:dyDescent="0.25"/>
    <row r="1547" hidden="1" x14ac:dyDescent="0.25"/>
    <row r="1548" hidden="1" x14ac:dyDescent="0.25"/>
    <row r="1549" hidden="1" x14ac:dyDescent="0.25"/>
    <row r="1550" hidden="1" x14ac:dyDescent="0.25"/>
    <row r="1551" hidden="1" x14ac:dyDescent="0.25"/>
    <row r="1552" hidden="1" x14ac:dyDescent="0.25"/>
    <row r="1553" hidden="1" x14ac:dyDescent="0.25"/>
    <row r="1554" hidden="1" x14ac:dyDescent="0.25"/>
    <row r="1555" hidden="1" x14ac:dyDescent="0.25"/>
    <row r="1556" hidden="1" x14ac:dyDescent="0.25"/>
    <row r="1557" hidden="1" x14ac:dyDescent="0.25"/>
    <row r="1558" hidden="1" x14ac:dyDescent="0.25"/>
    <row r="1559" hidden="1" x14ac:dyDescent="0.25"/>
    <row r="1560" hidden="1" x14ac:dyDescent="0.25"/>
    <row r="1561" hidden="1" x14ac:dyDescent="0.25"/>
    <row r="1562" hidden="1" x14ac:dyDescent="0.25"/>
    <row r="1563" hidden="1" x14ac:dyDescent="0.25"/>
    <row r="1564" hidden="1" x14ac:dyDescent="0.25"/>
    <row r="1565" hidden="1" x14ac:dyDescent="0.25"/>
    <row r="1566" hidden="1" x14ac:dyDescent="0.25"/>
    <row r="1567" hidden="1" x14ac:dyDescent="0.25"/>
    <row r="1568" hidden="1" x14ac:dyDescent="0.25"/>
    <row r="1569" hidden="1" x14ac:dyDescent="0.25"/>
    <row r="1570" hidden="1" x14ac:dyDescent="0.25"/>
    <row r="1571" hidden="1" x14ac:dyDescent="0.25"/>
    <row r="1572" hidden="1" x14ac:dyDescent="0.25"/>
    <row r="1573" hidden="1" x14ac:dyDescent="0.25"/>
    <row r="1574" hidden="1" x14ac:dyDescent="0.25"/>
    <row r="1575" hidden="1" x14ac:dyDescent="0.25"/>
    <row r="1576" hidden="1" x14ac:dyDescent="0.25"/>
    <row r="1577" hidden="1" x14ac:dyDescent="0.25"/>
    <row r="1578" hidden="1" x14ac:dyDescent="0.25"/>
    <row r="1579" hidden="1" x14ac:dyDescent="0.25"/>
    <row r="1580" hidden="1" x14ac:dyDescent="0.25"/>
    <row r="1581" hidden="1" x14ac:dyDescent="0.25"/>
    <row r="1582" hidden="1" x14ac:dyDescent="0.25"/>
    <row r="1583" hidden="1" x14ac:dyDescent="0.25"/>
    <row r="1584" hidden="1" x14ac:dyDescent="0.25"/>
    <row r="1585" hidden="1" x14ac:dyDescent="0.25"/>
    <row r="1586" hidden="1" x14ac:dyDescent="0.25"/>
    <row r="1587" hidden="1" x14ac:dyDescent="0.25"/>
    <row r="1588" hidden="1" x14ac:dyDescent="0.25"/>
    <row r="1589" hidden="1" x14ac:dyDescent="0.25"/>
    <row r="1590" hidden="1" x14ac:dyDescent="0.25"/>
    <row r="1591" hidden="1" x14ac:dyDescent="0.25"/>
    <row r="1592" hidden="1" x14ac:dyDescent="0.25"/>
    <row r="1593" hidden="1" x14ac:dyDescent="0.25"/>
    <row r="1594" hidden="1" x14ac:dyDescent="0.25"/>
    <row r="1595" hidden="1" x14ac:dyDescent="0.25"/>
    <row r="1596" hidden="1" x14ac:dyDescent="0.25"/>
    <row r="1597" hidden="1" x14ac:dyDescent="0.25"/>
    <row r="1598" hidden="1" x14ac:dyDescent="0.25"/>
    <row r="1599" hidden="1" x14ac:dyDescent="0.25"/>
    <row r="1600" hidden="1" x14ac:dyDescent="0.25"/>
    <row r="1601" hidden="1" x14ac:dyDescent="0.25"/>
    <row r="1602" hidden="1" x14ac:dyDescent="0.25"/>
    <row r="1603" hidden="1" x14ac:dyDescent="0.25"/>
    <row r="1604" hidden="1" x14ac:dyDescent="0.25"/>
    <row r="1605" hidden="1" x14ac:dyDescent="0.25"/>
    <row r="1606" hidden="1" x14ac:dyDescent="0.25"/>
    <row r="1607" hidden="1" x14ac:dyDescent="0.25"/>
    <row r="1608" hidden="1" x14ac:dyDescent="0.25"/>
    <row r="1609" hidden="1" x14ac:dyDescent="0.25"/>
    <row r="1610" hidden="1" x14ac:dyDescent="0.25"/>
    <row r="1611" hidden="1" x14ac:dyDescent="0.25"/>
    <row r="1612" hidden="1" x14ac:dyDescent="0.25"/>
    <row r="1613" hidden="1" x14ac:dyDescent="0.25"/>
    <row r="1614" hidden="1" x14ac:dyDescent="0.25"/>
    <row r="1615" hidden="1" x14ac:dyDescent="0.25"/>
    <row r="1616" hidden="1" x14ac:dyDescent="0.25"/>
    <row r="1617" hidden="1" x14ac:dyDescent="0.25"/>
    <row r="1618" hidden="1" x14ac:dyDescent="0.25"/>
    <row r="1619" hidden="1" x14ac:dyDescent="0.25"/>
    <row r="1620" hidden="1" x14ac:dyDescent="0.25"/>
    <row r="1621" hidden="1" x14ac:dyDescent="0.25"/>
    <row r="1622" hidden="1" x14ac:dyDescent="0.25"/>
    <row r="1623" hidden="1" x14ac:dyDescent="0.25"/>
    <row r="1624" hidden="1" x14ac:dyDescent="0.25"/>
    <row r="1625" hidden="1" x14ac:dyDescent="0.25"/>
    <row r="1626" hidden="1" x14ac:dyDescent="0.25"/>
    <row r="1627" hidden="1" x14ac:dyDescent="0.25"/>
    <row r="1628" hidden="1" x14ac:dyDescent="0.25"/>
    <row r="1629" hidden="1" x14ac:dyDescent="0.25"/>
    <row r="1630" hidden="1" x14ac:dyDescent="0.25"/>
    <row r="1631" hidden="1" x14ac:dyDescent="0.25"/>
    <row r="1632" hidden="1" x14ac:dyDescent="0.25"/>
    <row r="1633" hidden="1" x14ac:dyDescent="0.25"/>
    <row r="1634" hidden="1" x14ac:dyDescent="0.25"/>
    <row r="1635" hidden="1" x14ac:dyDescent="0.25"/>
    <row r="1636" hidden="1" x14ac:dyDescent="0.25"/>
    <row r="1637" hidden="1" x14ac:dyDescent="0.25"/>
    <row r="1638" hidden="1" x14ac:dyDescent="0.25"/>
    <row r="1639" hidden="1" x14ac:dyDescent="0.25"/>
    <row r="1640" hidden="1" x14ac:dyDescent="0.25"/>
    <row r="1641" hidden="1" x14ac:dyDescent="0.25"/>
    <row r="1642" hidden="1" x14ac:dyDescent="0.25"/>
    <row r="1643" hidden="1" x14ac:dyDescent="0.25"/>
    <row r="1644" hidden="1" x14ac:dyDescent="0.25"/>
    <row r="1645" hidden="1" x14ac:dyDescent="0.25"/>
    <row r="1646" hidden="1" x14ac:dyDescent="0.25"/>
    <row r="1647" hidden="1" x14ac:dyDescent="0.25"/>
    <row r="1648" hidden="1" x14ac:dyDescent="0.25"/>
    <row r="1649" hidden="1" x14ac:dyDescent="0.25"/>
    <row r="1650" hidden="1" x14ac:dyDescent="0.25"/>
    <row r="1651" hidden="1" x14ac:dyDescent="0.25"/>
    <row r="1652" hidden="1" x14ac:dyDescent="0.25"/>
    <row r="1653" hidden="1" x14ac:dyDescent="0.25"/>
    <row r="1654" hidden="1" x14ac:dyDescent="0.25"/>
    <row r="1655" hidden="1" x14ac:dyDescent="0.25"/>
    <row r="1656" hidden="1" x14ac:dyDescent="0.25"/>
    <row r="1657" hidden="1" x14ac:dyDescent="0.25"/>
    <row r="1658" hidden="1" x14ac:dyDescent="0.25"/>
    <row r="1659" hidden="1" x14ac:dyDescent="0.25"/>
    <row r="1660" hidden="1" x14ac:dyDescent="0.25"/>
    <row r="1661" hidden="1" x14ac:dyDescent="0.25"/>
    <row r="1662" hidden="1" x14ac:dyDescent="0.25"/>
    <row r="1663" hidden="1" x14ac:dyDescent="0.25"/>
    <row r="1664" hidden="1" x14ac:dyDescent="0.25"/>
    <row r="1665" hidden="1" x14ac:dyDescent="0.25"/>
    <row r="1666" hidden="1" x14ac:dyDescent="0.25"/>
    <row r="1667" hidden="1" x14ac:dyDescent="0.25"/>
    <row r="1668" hidden="1" x14ac:dyDescent="0.25"/>
    <row r="1669" hidden="1" x14ac:dyDescent="0.25"/>
    <row r="1670" hidden="1" x14ac:dyDescent="0.25"/>
    <row r="1671" hidden="1" x14ac:dyDescent="0.25"/>
    <row r="1672" hidden="1" x14ac:dyDescent="0.25"/>
    <row r="1673" hidden="1" x14ac:dyDescent="0.25"/>
    <row r="1674" hidden="1" x14ac:dyDescent="0.25"/>
    <row r="1675" hidden="1" x14ac:dyDescent="0.25"/>
    <row r="1676" hidden="1" x14ac:dyDescent="0.25"/>
    <row r="1677" hidden="1" x14ac:dyDescent="0.25"/>
    <row r="1678" hidden="1" x14ac:dyDescent="0.25"/>
    <row r="1679" hidden="1" x14ac:dyDescent="0.25"/>
    <row r="1680" hidden="1" x14ac:dyDescent="0.25"/>
    <row r="1681" hidden="1" x14ac:dyDescent="0.25"/>
    <row r="1682" hidden="1" x14ac:dyDescent="0.25"/>
    <row r="1683" hidden="1" x14ac:dyDescent="0.25"/>
    <row r="1684" hidden="1" x14ac:dyDescent="0.25"/>
    <row r="1685" hidden="1" x14ac:dyDescent="0.25"/>
    <row r="1686" hidden="1" x14ac:dyDescent="0.25"/>
    <row r="1687" hidden="1" x14ac:dyDescent="0.25"/>
    <row r="1688" hidden="1" x14ac:dyDescent="0.25"/>
    <row r="1689" hidden="1" x14ac:dyDescent="0.25"/>
    <row r="1690" hidden="1" x14ac:dyDescent="0.25"/>
    <row r="1691" hidden="1" x14ac:dyDescent="0.25"/>
    <row r="1692" hidden="1" x14ac:dyDescent="0.25"/>
    <row r="1693" hidden="1" x14ac:dyDescent="0.25"/>
    <row r="1694" hidden="1" x14ac:dyDescent="0.25"/>
    <row r="1695" hidden="1" x14ac:dyDescent="0.25"/>
    <row r="1696" hidden="1" x14ac:dyDescent="0.25"/>
    <row r="1697" hidden="1" x14ac:dyDescent="0.25"/>
    <row r="1698" hidden="1" x14ac:dyDescent="0.25"/>
    <row r="1699" hidden="1" x14ac:dyDescent="0.25"/>
    <row r="1700" hidden="1" x14ac:dyDescent="0.25"/>
    <row r="1701" hidden="1" x14ac:dyDescent="0.25"/>
    <row r="1702" hidden="1" x14ac:dyDescent="0.25"/>
    <row r="1703" hidden="1" x14ac:dyDescent="0.25"/>
    <row r="1704" hidden="1" x14ac:dyDescent="0.25"/>
    <row r="1705" hidden="1" x14ac:dyDescent="0.25"/>
    <row r="1706" hidden="1" x14ac:dyDescent="0.25"/>
    <row r="1707" hidden="1" x14ac:dyDescent="0.25"/>
    <row r="1708" hidden="1" x14ac:dyDescent="0.25"/>
    <row r="1709" hidden="1" x14ac:dyDescent="0.25"/>
    <row r="1710" hidden="1" x14ac:dyDescent="0.25"/>
    <row r="1711" hidden="1" x14ac:dyDescent="0.25"/>
    <row r="1712" hidden="1" x14ac:dyDescent="0.25"/>
    <row r="1713" hidden="1" x14ac:dyDescent="0.25"/>
    <row r="1714" hidden="1" x14ac:dyDescent="0.25"/>
    <row r="1715" hidden="1" x14ac:dyDescent="0.25"/>
    <row r="1716" hidden="1" x14ac:dyDescent="0.25"/>
    <row r="1717" hidden="1" x14ac:dyDescent="0.25"/>
    <row r="1718" hidden="1" x14ac:dyDescent="0.25"/>
    <row r="1719" hidden="1" x14ac:dyDescent="0.25"/>
    <row r="1720" hidden="1" x14ac:dyDescent="0.25"/>
    <row r="1721" hidden="1" x14ac:dyDescent="0.25"/>
    <row r="1722" hidden="1" x14ac:dyDescent="0.25"/>
    <row r="1723" hidden="1" x14ac:dyDescent="0.25"/>
    <row r="1724" hidden="1" x14ac:dyDescent="0.25"/>
    <row r="1725" hidden="1" x14ac:dyDescent="0.25"/>
    <row r="1726" hidden="1" x14ac:dyDescent="0.25"/>
    <row r="1727" hidden="1" x14ac:dyDescent="0.25"/>
    <row r="1728" hidden="1" x14ac:dyDescent="0.25"/>
    <row r="1729" hidden="1" x14ac:dyDescent="0.25"/>
    <row r="1730" hidden="1" x14ac:dyDescent="0.25"/>
    <row r="1731" hidden="1" x14ac:dyDescent="0.25"/>
    <row r="1732" hidden="1" x14ac:dyDescent="0.25"/>
    <row r="1733" hidden="1" x14ac:dyDescent="0.25"/>
    <row r="1734" hidden="1" x14ac:dyDescent="0.25"/>
    <row r="1735" hidden="1" x14ac:dyDescent="0.25"/>
    <row r="1736" hidden="1" x14ac:dyDescent="0.25"/>
    <row r="1737" hidden="1" x14ac:dyDescent="0.25"/>
    <row r="1738" hidden="1" x14ac:dyDescent="0.25"/>
    <row r="1739" hidden="1" x14ac:dyDescent="0.25"/>
    <row r="1740" hidden="1" x14ac:dyDescent="0.25"/>
    <row r="1741" hidden="1" x14ac:dyDescent="0.25"/>
    <row r="1742" hidden="1" x14ac:dyDescent="0.25"/>
    <row r="1743" hidden="1" x14ac:dyDescent="0.25"/>
    <row r="1744" hidden="1" x14ac:dyDescent="0.25"/>
    <row r="1745" hidden="1" x14ac:dyDescent="0.25"/>
    <row r="1746" hidden="1" x14ac:dyDescent="0.25"/>
    <row r="1747" hidden="1" x14ac:dyDescent="0.25"/>
    <row r="1748" hidden="1" x14ac:dyDescent="0.25"/>
    <row r="1749" hidden="1" x14ac:dyDescent="0.25"/>
    <row r="1750" hidden="1" x14ac:dyDescent="0.25"/>
    <row r="1751" hidden="1" x14ac:dyDescent="0.25"/>
    <row r="1752" hidden="1" x14ac:dyDescent="0.25"/>
    <row r="1753" hidden="1" x14ac:dyDescent="0.25"/>
    <row r="1754" hidden="1" x14ac:dyDescent="0.25"/>
    <row r="1755" hidden="1" x14ac:dyDescent="0.25"/>
    <row r="1756" hidden="1" x14ac:dyDescent="0.25"/>
    <row r="1757" hidden="1" x14ac:dyDescent="0.25"/>
    <row r="1758" hidden="1" x14ac:dyDescent="0.25"/>
    <row r="1759" hidden="1" x14ac:dyDescent="0.25"/>
    <row r="1760" hidden="1" x14ac:dyDescent="0.25"/>
    <row r="1761" hidden="1" x14ac:dyDescent="0.25"/>
    <row r="1762" hidden="1" x14ac:dyDescent="0.25"/>
    <row r="1763" hidden="1" x14ac:dyDescent="0.25"/>
    <row r="1764" hidden="1" x14ac:dyDescent="0.25"/>
    <row r="1765" hidden="1" x14ac:dyDescent="0.25"/>
    <row r="1766" hidden="1" x14ac:dyDescent="0.25"/>
    <row r="1767" hidden="1" x14ac:dyDescent="0.25"/>
    <row r="1768" hidden="1" x14ac:dyDescent="0.25"/>
    <row r="1769" hidden="1" x14ac:dyDescent="0.25"/>
    <row r="1770" hidden="1" x14ac:dyDescent="0.25"/>
    <row r="1771" hidden="1" x14ac:dyDescent="0.25"/>
    <row r="1772" hidden="1" x14ac:dyDescent="0.25"/>
    <row r="1773" hidden="1" x14ac:dyDescent="0.25"/>
    <row r="1774" hidden="1" x14ac:dyDescent="0.25"/>
    <row r="1775" hidden="1" x14ac:dyDescent="0.25"/>
    <row r="1776" hidden="1" x14ac:dyDescent="0.25"/>
    <row r="1777" hidden="1" x14ac:dyDescent="0.25"/>
    <row r="1778" hidden="1" x14ac:dyDescent="0.25"/>
    <row r="1779" hidden="1" x14ac:dyDescent="0.25"/>
    <row r="1780" hidden="1" x14ac:dyDescent="0.25"/>
    <row r="1781" hidden="1" x14ac:dyDescent="0.25"/>
    <row r="1782" hidden="1" x14ac:dyDescent="0.25"/>
    <row r="1783" hidden="1" x14ac:dyDescent="0.25"/>
    <row r="1784" hidden="1" x14ac:dyDescent="0.25"/>
    <row r="1785" hidden="1" x14ac:dyDescent="0.25"/>
    <row r="1786" hidden="1" x14ac:dyDescent="0.25"/>
    <row r="1787" hidden="1" x14ac:dyDescent="0.25"/>
    <row r="1788" hidden="1" x14ac:dyDescent="0.25"/>
    <row r="1789" hidden="1" x14ac:dyDescent="0.25"/>
    <row r="1790" hidden="1" x14ac:dyDescent="0.25"/>
    <row r="1791" hidden="1" x14ac:dyDescent="0.25"/>
    <row r="1792" hidden="1" x14ac:dyDescent="0.25"/>
    <row r="1793" hidden="1" x14ac:dyDescent="0.25"/>
    <row r="1794" hidden="1" x14ac:dyDescent="0.25"/>
    <row r="1795" hidden="1" x14ac:dyDescent="0.25"/>
    <row r="1796" hidden="1" x14ac:dyDescent="0.25"/>
    <row r="1797" hidden="1" x14ac:dyDescent="0.25"/>
    <row r="1798" hidden="1" x14ac:dyDescent="0.25"/>
    <row r="1799" hidden="1" x14ac:dyDescent="0.25"/>
    <row r="1800" hidden="1" x14ac:dyDescent="0.25"/>
    <row r="1801" hidden="1" x14ac:dyDescent="0.25"/>
    <row r="1802" hidden="1" x14ac:dyDescent="0.25"/>
    <row r="1803" hidden="1" x14ac:dyDescent="0.25"/>
    <row r="1804" hidden="1" x14ac:dyDescent="0.25"/>
    <row r="1805" hidden="1" x14ac:dyDescent="0.25"/>
    <row r="1806" hidden="1" x14ac:dyDescent="0.25"/>
    <row r="1807" hidden="1" x14ac:dyDescent="0.25"/>
    <row r="1808" hidden="1" x14ac:dyDescent="0.25"/>
    <row r="1809" hidden="1" x14ac:dyDescent="0.25"/>
    <row r="1810" hidden="1" x14ac:dyDescent="0.25"/>
    <row r="1811" hidden="1" x14ac:dyDescent="0.25"/>
    <row r="1812" hidden="1" x14ac:dyDescent="0.25"/>
    <row r="1813" hidden="1" x14ac:dyDescent="0.25"/>
    <row r="1814" hidden="1" x14ac:dyDescent="0.25"/>
    <row r="1815" hidden="1" x14ac:dyDescent="0.25"/>
    <row r="1816" hidden="1" x14ac:dyDescent="0.25"/>
    <row r="1817" hidden="1" x14ac:dyDescent="0.25"/>
    <row r="1818" hidden="1" x14ac:dyDescent="0.25"/>
    <row r="1819" hidden="1" x14ac:dyDescent="0.25"/>
    <row r="1820" hidden="1" x14ac:dyDescent="0.25"/>
    <row r="1821" hidden="1" x14ac:dyDescent="0.25"/>
    <row r="1822" hidden="1" x14ac:dyDescent="0.25"/>
    <row r="1823" hidden="1" x14ac:dyDescent="0.25"/>
    <row r="1824" hidden="1" x14ac:dyDescent="0.25"/>
    <row r="1825" hidden="1" x14ac:dyDescent="0.25"/>
    <row r="1826" hidden="1" x14ac:dyDescent="0.25"/>
    <row r="1827" hidden="1" x14ac:dyDescent="0.25"/>
    <row r="1828" hidden="1" x14ac:dyDescent="0.25"/>
    <row r="1829" hidden="1" x14ac:dyDescent="0.25"/>
    <row r="1830" hidden="1" x14ac:dyDescent="0.25"/>
    <row r="1831" hidden="1" x14ac:dyDescent="0.25"/>
    <row r="1832" hidden="1" x14ac:dyDescent="0.25"/>
    <row r="1833" hidden="1" x14ac:dyDescent="0.25"/>
    <row r="1834" hidden="1" x14ac:dyDescent="0.25"/>
    <row r="1835" hidden="1" x14ac:dyDescent="0.25"/>
    <row r="1836" hidden="1" x14ac:dyDescent="0.25"/>
    <row r="1837" hidden="1" x14ac:dyDescent="0.25"/>
    <row r="1838" hidden="1" x14ac:dyDescent="0.25"/>
    <row r="1839" hidden="1" x14ac:dyDescent="0.25"/>
    <row r="1840" hidden="1" x14ac:dyDescent="0.25"/>
    <row r="1841" hidden="1" x14ac:dyDescent="0.25"/>
    <row r="1842" hidden="1" x14ac:dyDescent="0.25"/>
    <row r="1843" hidden="1" x14ac:dyDescent="0.25"/>
    <row r="1844" hidden="1" x14ac:dyDescent="0.25"/>
    <row r="1845" hidden="1" x14ac:dyDescent="0.25"/>
    <row r="1846" hidden="1" x14ac:dyDescent="0.25"/>
    <row r="1847" hidden="1" x14ac:dyDescent="0.25"/>
    <row r="1848" hidden="1" x14ac:dyDescent="0.25"/>
    <row r="1849" hidden="1" x14ac:dyDescent="0.25"/>
    <row r="1850" hidden="1" x14ac:dyDescent="0.25"/>
    <row r="1851" hidden="1" x14ac:dyDescent="0.25"/>
    <row r="1852" hidden="1" x14ac:dyDescent="0.25"/>
    <row r="1853" hidden="1" x14ac:dyDescent="0.25"/>
    <row r="1854" hidden="1" x14ac:dyDescent="0.25"/>
    <row r="1855" hidden="1" x14ac:dyDescent="0.25"/>
    <row r="1856" hidden="1" x14ac:dyDescent="0.25"/>
    <row r="1857" hidden="1" x14ac:dyDescent="0.25"/>
    <row r="1858" hidden="1" x14ac:dyDescent="0.25"/>
    <row r="1859" hidden="1" x14ac:dyDescent="0.25"/>
    <row r="1860" hidden="1" x14ac:dyDescent="0.25"/>
    <row r="1861" hidden="1" x14ac:dyDescent="0.25"/>
    <row r="1862" hidden="1" x14ac:dyDescent="0.25"/>
    <row r="1863" hidden="1" x14ac:dyDescent="0.25"/>
    <row r="1864" hidden="1" x14ac:dyDescent="0.25"/>
    <row r="1865" hidden="1" x14ac:dyDescent="0.25"/>
    <row r="1866" hidden="1" x14ac:dyDescent="0.25"/>
    <row r="1867" hidden="1" x14ac:dyDescent="0.25"/>
    <row r="1868" hidden="1" x14ac:dyDescent="0.25"/>
    <row r="1869" hidden="1" x14ac:dyDescent="0.25"/>
    <row r="1870" hidden="1" x14ac:dyDescent="0.25"/>
    <row r="1871" hidden="1" x14ac:dyDescent="0.25"/>
    <row r="1872" hidden="1" x14ac:dyDescent="0.25"/>
    <row r="1873" hidden="1" x14ac:dyDescent="0.25"/>
    <row r="1874" hidden="1" x14ac:dyDescent="0.25"/>
    <row r="1875" hidden="1" x14ac:dyDescent="0.25"/>
    <row r="1876" hidden="1" x14ac:dyDescent="0.25"/>
    <row r="1877" hidden="1" x14ac:dyDescent="0.25"/>
    <row r="1878" hidden="1" x14ac:dyDescent="0.25"/>
    <row r="1879" hidden="1" x14ac:dyDescent="0.25"/>
    <row r="1880" hidden="1" x14ac:dyDescent="0.25"/>
    <row r="1881" hidden="1" x14ac:dyDescent="0.25"/>
    <row r="1882" hidden="1" x14ac:dyDescent="0.25"/>
    <row r="1883" hidden="1" x14ac:dyDescent="0.25"/>
    <row r="1884" hidden="1" x14ac:dyDescent="0.25"/>
    <row r="1885" hidden="1" x14ac:dyDescent="0.25"/>
    <row r="1886" hidden="1" x14ac:dyDescent="0.25"/>
    <row r="1887" hidden="1" x14ac:dyDescent="0.25"/>
    <row r="1888" hidden="1" x14ac:dyDescent="0.25"/>
    <row r="1889" hidden="1" x14ac:dyDescent="0.25"/>
    <row r="1890" hidden="1" x14ac:dyDescent="0.25"/>
    <row r="1891" hidden="1" x14ac:dyDescent="0.25"/>
    <row r="1892" hidden="1" x14ac:dyDescent="0.25"/>
    <row r="1893" hidden="1" x14ac:dyDescent="0.25"/>
    <row r="1894" hidden="1" x14ac:dyDescent="0.25"/>
    <row r="1895" hidden="1" x14ac:dyDescent="0.25"/>
    <row r="1896" hidden="1" x14ac:dyDescent="0.25"/>
    <row r="1897" hidden="1" x14ac:dyDescent="0.25"/>
    <row r="1898" hidden="1" x14ac:dyDescent="0.25"/>
    <row r="1899" hidden="1" x14ac:dyDescent="0.25"/>
    <row r="1900" hidden="1" x14ac:dyDescent="0.25"/>
    <row r="1901" hidden="1" x14ac:dyDescent="0.25"/>
    <row r="1902" hidden="1" x14ac:dyDescent="0.25"/>
    <row r="1903" hidden="1" x14ac:dyDescent="0.25"/>
    <row r="1904" hidden="1" x14ac:dyDescent="0.25"/>
    <row r="1905" hidden="1" x14ac:dyDescent="0.25"/>
    <row r="1906" hidden="1" x14ac:dyDescent="0.25"/>
    <row r="1907" hidden="1" x14ac:dyDescent="0.25"/>
    <row r="1908" hidden="1" x14ac:dyDescent="0.25"/>
    <row r="1909" hidden="1" x14ac:dyDescent="0.25"/>
    <row r="1910" hidden="1" x14ac:dyDescent="0.25"/>
    <row r="1911" hidden="1" x14ac:dyDescent="0.25"/>
    <row r="1912" hidden="1" x14ac:dyDescent="0.25"/>
    <row r="1913" hidden="1" x14ac:dyDescent="0.25"/>
    <row r="1914" hidden="1" x14ac:dyDescent="0.25"/>
    <row r="1915" hidden="1" x14ac:dyDescent="0.25"/>
    <row r="1916" hidden="1" x14ac:dyDescent="0.25"/>
    <row r="1917" hidden="1" x14ac:dyDescent="0.25"/>
    <row r="1918" hidden="1" x14ac:dyDescent="0.25"/>
    <row r="1919" hidden="1" x14ac:dyDescent="0.25"/>
    <row r="1920" hidden="1" x14ac:dyDescent="0.25"/>
    <row r="1921" hidden="1" x14ac:dyDescent="0.25"/>
    <row r="1922" hidden="1" x14ac:dyDescent="0.25"/>
    <row r="1923" hidden="1" x14ac:dyDescent="0.25"/>
    <row r="1924" hidden="1" x14ac:dyDescent="0.25"/>
    <row r="1925" hidden="1" x14ac:dyDescent="0.25"/>
    <row r="1926" hidden="1" x14ac:dyDescent="0.25"/>
    <row r="1927" hidden="1" x14ac:dyDescent="0.25"/>
    <row r="1928" hidden="1" x14ac:dyDescent="0.25"/>
    <row r="1929" hidden="1" x14ac:dyDescent="0.25"/>
    <row r="1930" hidden="1" x14ac:dyDescent="0.25"/>
    <row r="1931" hidden="1" x14ac:dyDescent="0.25"/>
    <row r="1932" hidden="1" x14ac:dyDescent="0.25"/>
    <row r="1933" hidden="1" x14ac:dyDescent="0.25"/>
    <row r="1934" hidden="1" x14ac:dyDescent="0.25"/>
    <row r="1935" hidden="1" x14ac:dyDescent="0.25"/>
    <row r="1936" hidden="1" x14ac:dyDescent="0.25"/>
    <row r="1937" hidden="1" x14ac:dyDescent="0.25"/>
    <row r="1938" hidden="1" x14ac:dyDescent="0.25"/>
    <row r="1939" hidden="1" x14ac:dyDescent="0.25"/>
    <row r="1940" hidden="1" x14ac:dyDescent="0.25"/>
    <row r="1941" hidden="1" x14ac:dyDescent="0.25"/>
    <row r="1942" hidden="1" x14ac:dyDescent="0.25"/>
    <row r="1943" hidden="1" x14ac:dyDescent="0.25"/>
    <row r="1944" hidden="1" x14ac:dyDescent="0.25"/>
    <row r="1945" hidden="1" x14ac:dyDescent="0.25"/>
    <row r="1946" hidden="1" x14ac:dyDescent="0.25"/>
    <row r="1947" hidden="1" x14ac:dyDescent="0.25"/>
    <row r="1948" hidden="1" x14ac:dyDescent="0.25"/>
    <row r="1949" hidden="1" x14ac:dyDescent="0.25"/>
    <row r="1950" hidden="1" x14ac:dyDescent="0.25"/>
    <row r="1951" hidden="1" x14ac:dyDescent="0.25"/>
    <row r="1952" hidden="1" x14ac:dyDescent="0.25"/>
    <row r="1953" hidden="1" x14ac:dyDescent="0.25"/>
    <row r="1954" hidden="1" x14ac:dyDescent="0.25"/>
    <row r="1955" hidden="1" x14ac:dyDescent="0.25"/>
    <row r="1956" hidden="1" x14ac:dyDescent="0.25"/>
    <row r="1957" hidden="1" x14ac:dyDescent="0.25"/>
    <row r="1958" hidden="1" x14ac:dyDescent="0.25"/>
    <row r="1959" hidden="1" x14ac:dyDescent="0.25"/>
    <row r="1960" hidden="1" x14ac:dyDescent="0.25"/>
    <row r="1961" hidden="1" x14ac:dyDescent="0.25"/>
    <row r="1962" hidden="1" x14ac:dyDescent="0.25"/>
    <row r="1963" hidden="1" x14ac:dyDescent="0.25"/>
    <row r="1964" hidden="1" x14ac:dyDescent="0.25"/>
    <row r="1965" hidden="1" x14ac:dyDescent="0.25"/>
    <row r="1966" hidden="1" x14ac:dyDescent="0.25"/>
    <row r="1967" hidden="1" x14ac:dyDescent="0.25"/>
    <row r="1968" hidden="1" x14ac:dyDescent="0.25"/>
    <row r="1969" hidden="1" x14ac:dyDescent="0.25"/>
    <row r="1970" hidden="1" x14ac:dyDescent="0.25"/>
    <row r="1971" hidden="1" x14ac:dyDescent="0.25"/>
    <row r="1972" hidden="1" x14ac:dyDescent="0.25"/>
    <row r="1973" hidden="1" x14ac:dyDescent="0.25"/>
    <row r="1974" hidden="1" x14ac:dyDescent="0.25"/>
    <row r="1975" hidden="1" x14ac:dyDescent="0.25"/>
    <row r="1976" hidden="1" x14ac:dyDescent="0.25"/>
    <row r="1977" hidden="1" x14ac:dyDescent="0.25"/>
    <row r="1978" hidden="1" x14ac:dyDescent="0.25"/>
    <row r="1979" hidden="1" x14ac:dyDescent="0.25"/>
    <row r="1980" hidden="1" x14ac:dyDescent="0.25"/>
    <row r="1981" hidden="1" x14ac:dyDescent="0.25"/>
    <row r="1982" hidden="1" x14ac:dyDescent="0.25"/>
    <row r="1983" hidden="1" x14ac:dyDescent="0.25"/>
    <row r="1984" hidden="1" x14ac:dyDescent="0.25"/>
    <row r="1985" hidden="1" x14ac:dyDescent="0.25"/>
    <row r="1986" hidden="1" x14ac:dyDescent="0.25"/>
    <row r="1987" hidden="1" x14ac:dyDescent="0.25"/>
    <row r="1988" hidden="1" x14ac:dyDescent="0.25"/>
    <row r="1989" hidden="1" x14ac:dyDescent="0.25"/>
    <row r="1990" hidden="1" x14ac:dyDescent="0.25"/>
    <row r="1991" hidden="1" x14ac:dyDescent="0.25"/>
    <row r="1992" hidden="1" x14ac:dyDescent="0.25"/>
    <row r="1993" hidden="1" x14ac:dyDescent="0.25"/>
    <row r="1994" hidden="1" x14ac:dyDescent="0.25"/>
    <row r="1995" hidden="1" x14ac:dyDescent="0.25"/>
    <row r="1996" hidden="1" x14ac:dyDescent="0.25"/>
    <row r="1997" hidden="1" x14ac:dyDescent="0.25"/>
    <row r="1998" hidden="1" x14ac:dyDescent="0.25"/>
    <row r="1999" hidden="1" x14ac:dyDescent="0.25"/>
    <row r="2000" hidden="1" x14ac:dyDescent="0.25"/>
    <row r="2001" hidden="1" x14ac:dyDescent="0.25"/>
    <row r="2002" hidden="1" x14ac:dyDescent="0.25"/>
    <row r="2003" hidden="1" x14ac:dyDescent="0.25"/>
    <row r="2004" hidden="1" x14ac:dyDescent="0.25"/>
    <row r="2005" hidden="1" x14ac:dyDescent="0.25"/>
    <row r="2006" hidden="1" x14ac:dyDescent="0.25"/>
    <row r="2007" hidden="1" x14ac:dyDescent="0.25"/>
    <row r="2008" hidden="1" x14ac:dyDescent="0.25"/>
    <row r="2009" hidden="1" x14ac:dyDescent="0.25"/>
    <row r="2010" hidden="1" x14ac:dyDescent="0.25"/>
    <row r="2011" hidden="1" x14ac:dyDescent="0.25"/>
    <row r="2012" hidden="1" x14ac:dyDescent="0.25"/>
    <row r="2013" hidden="1" x14ac:dyDescent="0.25"/>
    <row r="2014" hidden="1" x14ac:dyDescent="0.25"/>
    <row r="2015" hidden="1" x14ac:dyDescent="0.25"/>
    <row r="2016" hidden="1" x14ac:dyDescent="0.25"/>
    <row r="2017" hidden="1" x14ac:dyDescent="0.25"/>
    <row r="2018" hidden="1" x14ac:dyDescent="0.25"/>
    <row r="2019" hidden="1" x14ac:dyDescent="0.25"/>
    <row r="2020" hidden="1" x14ac:dyDescent="0.25"/>
    <row r="2021" hidden="1" x14ac:dyDescent="0.25"/>
    <row r="2022" hidden="1" x14ac:dyDescent="0.25"/>
    <row r="2023" hidden="1" x14ac:dyDescent="0.25"/>
    <row r="2024" hidden="1" x14ac:dyDescent="0.25"/>
    <row r="2025" hidden="1" x14ac:dyDescent="0.25"/>
    <row r="2026" hidden="1" x14ac:dyDescent="0.25"/>
    <row r="2027" hidden="1" x14ac:dyDescent="0.25"/>
    <row r="2028" hidden="1" x14ac:dyDescent="0.25"/>
    <row r="2029" hidden="1" x14ac:dyDescent="0.25"/>
    <row r="2030" hidden="1" x14ac:dyDescent="0.25"/>
    <row r="2031" hidden="1" x14ac:dyDescent="0.25"/>
    <row r="2032" hidden="1" x14ac:dyDescent="0.25"/>
    <row r="2033" hidden="1" x14ac:dyDescent="0.25"/>
    <row r="2034" hidden="1" x14ac:dyDescent="0.25"/>
    <row r="2035" hidden="1" x14ac:dyDescent="0.25"/>
    <row r="2036" hidden="1" x14ac:dyDescent="0.25"/>
    <row r="2037" hidden="1" x14ac:dyDescent="0.25"/>
    <row r="2038" hidden="1" x14ac:dyDescent="0.25"/>
    <row r="2039" hidden="1" x14ac:dyDescent="0.25"/>
    <row r="2040" hidden="1" x14ac:dyDescent="0.25"/>
    <row r="2041" hidden="1" x14ac:dyDescent="0.25"/>
    <row r="2042" hidden="1" x14ac:dyDescent="0.25"/>
    <row r="2043" hidden="1" x14ac:dyDescent="0.25"/>
    <row r="2044" hidden="1" x14ac:dyDescent="0.25"/>
    <row r="2045" hidden="1" x14ac:dyDescent="0.25"/>
    <row r="2046" hidden="1" x14ac:dyDescent="0.25"/>
    <row r="2047" hidden="1" x14ac:dyDescent="0.25"/>
    <row r="2048" hidden="1" x14ac:dyDescent="0.25"/>
    <row r="2049" hidden="1" x14ac:dyDescent="0.25"/>
    <row r="2050" hidden="1" x14ac:dyDescent="0.25"/>
    <row r="2051" hidden="1" x14ac:dyDescent="0.25"/>
    <row r="2052" hidden="1" x14ac:dyDescent="0.25"/>
    <row r="2053" hidden="1" x14ac:dyDescent="0.25"/>
    <row r="2054" hidden="1" x14ac:dyDescent="0.25"/>
    <row r="2055" hidden="1" x14ac:dyDescent="0.25"/>
    <row r="2056" hidden="1" x14ac:dyDescent="0.25"/>
    <row r="2057" hidden="1" x14ac:dyDescent="0.25"/>
    <row r="2058" hidden="1" x14ac:dyDescent="0.25"/>
    <row r="2059" hidden="1" x14ac:dyDescent="0.25"/>
    <row r="2060" hidden="1" x14ac:dyDescent="0.25"/>
    <row r="2061" hidden="1" x14ac:dyDescent="0.25"/>
    <row r="2062" hidden="1" x14ac:dyDescent="0.25"/>
    <row r="2063" hidden="1" x14ac:dyDescent="0.25"/>
    <row r="2064" hidden="1" x14ac:dyDescent="0.25"/>
    <row r="2065" hidden="1" x14ac:dyDescent="0.25"/>
    <row r="2066" hidden="1" x14ac:dyDescent="0.25"/>
    <row r="2067" hidden="1" x14ac:dyDescent="0.25"/>
    <row r="2068" hidden="1" x14ac:dyDescent="0.25"/>
    <row r="2069" hidden="1" x14ac:dyDescent="0.25"/>
    <row r="2070" hidden="1" x14ac:dyDescent="0.25"/>
    <row r="2071" hidden="1" x14ac:dyDescent="0.25"/>
    <row r="2072" hidden="1" x14ac:dyDescent="0.25"/>
    <row r="2073" hidden="1" x14ac:dyDescent="0.25"/>
    <row r="2074" hidden="1" x14ac:dyDescent="0.25"/>
    <row r="2075" hidden="1" x14ac:dyDescent="0.25"/>
    <row r="2076" hidden="1" x14ac:dyDescent="0.25"/>
    <row r="2077" hidden="1" x14ac:dyDescent="0.25"/>
    <row r="2078" hidden="1" x14ac:dyDescent="0.25"/>
    <row r="2079" hidden="1" x14ac:dyDescent="0.25"/>
    <row r="2080" hidden="1" x14ac:dyDescent="0.25"/>
    <row r="2081" hidden="1" x14ac:dyDescent="0.25"/>
    <row r="2082" hidden="1" x14ac:dyDescent="0.25"/>
    <row r="2083" hidden="1" x14ac:dyDescent="0.25"/>
    <row r="2084" hidden="1" x14ac:dyDescent="0.25"/>
    <row r="2085" hidden="1" x14ac:dyDescent="0.25"/>
    <row r="2086" hidden="1" x14ac:dyDescent="0.25"/>
    <row r="2087" hidden="1" x14ac:dyDescent="0.25"/>
    <row r="2088" hidden="1" x14ac:dyDescent="0.25"/>
    <row r="2089" hidden="1" x14ac:dyDescent="0.25"/>
    <row r="2090" hidden="1" x14ac:dyDescent="0.25"/>
    <row r="2091" hidden="1" x14ac:dyDescent="0.25"/>
    <row r="2092" hidden="1" x14ac:dyDescent="0.25"/>
    <row r="2093" hidden="1" x14ac:dyDescent="0.25"/>
    <row r="2094" hidden="1" x14ac:dyDescent="0.25"/>
    <row r="2095" hidden="1" x14ac:dyDescent="0.25"/>
    <row r="2096" hidden="1" x14ac:dyDescent="0.25"/>
    <row r="2097" hidden="1" x14ac:dyDescent="0.25"/>
    <row r="2098" hidden="1" x14ac:dyDescent="0.25"/>
    <row r="2099" hidden="1" x14ac:dyDescent="0.25"/>
    <row r="2100" hidden="1" x14ac:dyDescent="0.25"/>
    <row r="2101" hidden="1" x14ac:dyDescent="0.25"/>
    <row r="2102" hidden="1" x14ac:dyDescent="0.25"/>
    <row r="2103" hidden="1" x14ac:dyDescent="0.25"/>
    <row r="2104" hidden="1" x14ac:dyDescent="0.25"/>
    <row r="2105" hidden="1" x14ac:dyDescent="0.25"/>
    <row r="2106" hidden="1" x14ac:dyDescent="0.25"/>
    <row r="2107" hidden="1" x14ac:dyDescent="0.25"/>
    <row r="2108" hidden="1" x14ac:dyDescent="0.25"/>
    <row r="2109" hidden="1" x14ac:dyDescent="0.25"/>
    <row r="2110" hidden="1" x14ac:dyDescent="0.25"/>
    <row r="2111" hidden="1" x14ac:dyDescent="0.25"/>
    <row r="2112" hidden="1" x14ac:dyDescent="0.25"/>
    <row r="2113" hidden="1" x14ac:dyDescent="0.25"/>
    <row r="2114" hidden="1" x14ac:dyDescent="0.25"/>
    <row r="2115" hidden="1" x14ac:dyDescent="0.25"/>
    <row r="2116" hidden="1" x14ac:dyDescent="0.25"/>
    <row r="2117" hidden="1" x14ac:dyDescent="0.25"/>
    <row r="2118" hidden="1" x14ac:dyDescent="0.25"/>
    <row r="2119" hidden="1" x14ac:dyDescent="0.25"/>
    <row r="2120" hidden="1" x14ac:dyDescent="0.25"/>
    <row r="2121" hidden="1" x14ac:dyDescent="0.25"/>
    <row r="2122" hidden="1" x14ac:dyDescent="0.25"/>
    <row r="2123" hidden="1" x14ac:dyDescent="0.25"/>
    <row r="2124" hidden="1" x14ac:dyDescent="0.25"/>
    <row r="2125" hidden="1" x14ac:dyDescent="0.25"/>
    <row r="2126" hidden="1" x14ac:dyDescent="0.25"/>
    <row r="2127" hidden="1" x14ac:dyDescent="0.25"/>
    <row r="2128" hidden="1" x14ac:dyDescent="0.25"/>
    <row r="2129" hidden="1" x14ac:dyDescent="0.25"/>
    <row r="2130" hidden="1" x14ac:dyDescent="0.25"/>
    <row r="2131" hidden="1" x14ac:dyDescent="0.25"/>
    <row r="2132" hidden="1" x14ac:dyDescent="0.25"/>
    <row r="2133" hidden="1" x14ac:dyDescent="0.25"/>
    <row r="2134" hidden="1" x14ac:dyDescent="0.25"/>
    <row r="2135" hidden="1" x14ac:dyDescent="0.25"/>
    <row r="2136" hidden="1" x14ac:dyDescent="0.25"/>
    <row r="2137" hidden="1" x14ac:dyDescent="0.25"/>
    <row r="2138" hidden="1" x14ac:dyDescent="0.25"/>
    <row r="2139" hidden="1" x14ac:dyDescent="0.25"/>
    <row r="2140" hidden="1" x14ac:dyDescent="0.25"/>
    <row r="2141" hidden="1" x14ac:dyDescent="0.25"/>
    <row r="2142" hidden="1" x14ac:dyDescent="0.25"/>
    <row r="2143" hidden="1" x14ac:dyDescent="0.25"/>
    <row r="2144" hidden="1" x14ac:dyDescent="0.25"/>
    <row r="2145" hidden="1" x14ac:dyDescent="0.25"/>
    <row r="2146" hidden="1" x14ac:dyDescent="0.25"/>
    <row r="2147" hidden="1" x14ac:dyDescent="0.25"/>
    <row r="2148" hidden="1" x14ac:dyDescent="0.25"/>
    <row r="2149" hidden="1" x14ac:dyDescent="0.25"/>
    <row r="2150" hidden="1" x14ac:dyDescent="0.25"/>
    <row r="2151" hidden="1" x14ac:dyDescent="0.25"/>
    <row r="2152" hidden="1" x14ac:dyDescent="0.25"/>
    <row r="2153" hidden="1" x14ac:dyDescent="0.25"/>
    <row r="2154" hidden="1" x14ac:dyDescent="0.25"/>
    <row r="2155" hidden="1" x14ac:dyDescent="0.25"/>
    <row r="2156" hidden="1" x14ac:dyDescent="0.25"/>
    <row r="2157" hidden="1" x14ac:dyDescent="0.25"/>
    <row r="2158" hidden="1" x14ac:dyDescent="0.25"/>
    <row r="2159" hidden="1" x14ac:dyDescent="0.25"/>
    <row r="2160" hidden="1" x14ac:dyDescent="0.25"/>
    <row r="2161" hidden="1" x14ac:dyDescent="0.25"/>
    <row r="2162" hidden="1" x14ac:dyDescent="0.25"/>
    <row r="2163" hidden="1" x14ac:dyDescent="0.25"/>
    <row r="2164" hidden="1" x14ac:dyDescent="0.25"/>
    <row r="2165" hidden="1" x14ac:dyDescent="0.25"/>
    <row r="2166" hidden="1" x14ac:dyDescent="0.25"/>
    <row r="2167" hidden="1" x14ac:dyDescent="0.25"/>
    <row r="1048250" spans="80:80" x14ac:dyDescent="0.25">
      <c r="CB1048250">
        <f>SUM(CB1:CB1048249)</f>
        <v>194</v>
      </c>
    </row>
  </sheetData>
  <mergeCells count="140">
    <mergeCell ref="B1:H1"/>
    <mergeCell ref="CT1:DN1"/>
    <mergeCell ref="U1:CK1"/>
    <mergeCell ref="DJ55:DN55"/>
    <mergeCell ref="A46:A48"/>
    <mergeCell ref="C46:C48"/>
    <mergeCell ref="E46:E48"/>
    <mergeCell ref="B46:B48"/>
    <mergeCell ref="B34:B36"/>
    <mergeCell ref="B37:B39"/>
    <mergeCell ref="C43:C45"/>
    <mergeCell ref="A40:A42"/>
    <mergeCell ref="A43:A45"/>
    <mergeCell ref="C40:C42"/>
    <mergeCell ref="B40:B42"/>
    <mergeCell ref="B43:B45"/>
    <mergeCell ref="E37:E39"/>
    <mergeCell ref="D40:D42"/>
    <mergeCell ref="D43:D45"/>
    <mergeCell ref="D46:D48"/>
    <mergeCell ref="A34:A36"/>
    <mergeCell ref="A37:A39"/>
    <mergeCell ref="C34:C36"/>
    <mergeCell ref="C37:C39"/>
    <mergeCell ref="DJ53:DN53"/>
    <mergeCell ref="DJ54:DN54"/>
    <mergeCell ref="DB53:DG53"/>
    <mergeCell ref="H46:H48"/>
    <mergeCell ref="E43:E45"/>
    <mergeCell ref="F43:F45"/>
    <mergeCell ref="G43:G45"/>
    <mergeCell ref="H43:H45"/>
    <mergeCell ref="F46:F48"/>
    <mergeCell ref="G46:G48"/>
    <mergeCell ref="DB54:DG54"/>
    <mergeCell ref="D37:D39"/>
    <mergeCell ref="F40:F42"/>
    <mergeCell ref="G40:G42"/>
    <mergeCell ref="H40:H42"/>
    <mergeCell ref="E40:E42"/>
    <mergeCell ref="H31:H33"/>
    <mergeCell ref="F37:F39"/>
    <mergeCell ref="G37:G39"/>
    <mergeCell ref="H37:H39"/>
    <mergeCell ref="F34:F36"/>
    <mergeCell ref="G34:G36"/>
    <mergeCell ref="H34:H36"/>
    <mergeCell ref="D34:D36"/>
    <mergeCell ref="E34:E36"/>
    <mergeCell ref="A28:A30"/>
    <mergeCell ref="A31:A33"/>
    <mergeCell ref="B25:B27"/>
    <mergeCell ref="B31:B33"/>
    <mergeCell ref="D22:D24"/>
    <mergeCell ref="E22:E24"/>
    <mergeCell ref="F22:F24"/>
    <mergeCell ref="B28:B30"/>
    <mergeCell ref="H19:H20"/>
    <mergeCell ref="H22:H24"/>
    <mergeCell ref="H28:H30"/>
    <mergeCell ref="C31:C33"/>
    <mergeCell ref="D31:D33"/>
    <mergeCell ref="E31:E33"/>
    <mergeCell ref="F31:F33"/>
    <mergeCell ref="G31:G33"/>
    <mergeCell ref="D28:D30"/>
    <mergeCell ref="E28:E30"/>
    <mergeCell ref="F28:F30"/>
    <mergeCell ref="G28:G30"/>
    <mergeCell ref="C28:C30"/>
    <mergeCell ref="A22:A24"/>
    <mergeCell ref="H25:H27"/>
    <mergeCell ref="C25:C27"/>
    <mergeCell ref="E25:E27"/>
    <mergeCell ref="F25:F27"/>
    <mergeCell ref="G25:G27"/>
    <mergeCell ref="C14:C15"/>
    <mergeCell ref="D14:D15"/>
    <mergeCell ref="E14:E15"/>
    <mergeCell ref="G22:G24"/>
    <mergeCell ref="F19:F20"/>
    <mergeCell ref="G19:G20"/>
    <mergeCell ref="F14:F15"/>
    <mergeCell ref="G14:G15"/>
    <mergeCell ref="E16:E18"/>
    <mergeCell ref="F16:F18"/>
    <mergeCell ref="G16:G18"/>
    <mergeCell ref="A25:A27"/>
    <mergeCell ref="A4:A6"/>
    <mergeCell ref="A7:A9"/>
    <mergeCell ref="A10:A11"/>
    <mergeCell ref="C4:C6"/>
    <mergeCell ref="D4:D6"/>
    <mergeCell ref="C7:C9"/>
    <mergeCell ref="D7:D9"/>
    <mergeCell ref="C10:C11"/>
    <mergeCell ref="D10:D11"/>
    <mergeCell ref="B14:B15"/>
    <mergeCell ref="B16:B18"/>
    <mergeCell ref="A12:A13"/>
    <mergeCell ref="A14:A15"/>
    <mergeCell ref="A16:A18"/>
    <mergeCell ref="C12:C13"/>
    <mergeCell ref="D12:D13"/>
    <mergeCell ref="D25:D27"/>
    <mergeCell ref="D16:D18"/>
    <mergeCell ref="H16:H18"/>
    <mergeCell ref="F12:F13"/>
    <mergeCell ref="G12:G13"/>
    <mergeCell ref="H12:H13"/>
    <mergeCell ref="A19:A20"/>
    <mergeCell ref="B19:B20"/>
    <mergeCell ref="C19:C20"/>
    <mergeCell ref="D19:D20"/>
    <mergeCell ref="E19:E20"/>
    <mergeCell ref="E12:E13"/>
    <mergeCell ref="DB55:DG55"/>
    <mergeCell ref="DB56:DG56"/>
    <mergeCell ref="F51:H51"/>
    <mergeCell ref="B4:B6"/>
    <mergeCell ref="B7:B9"/>
    <mergeCell ref="B10:B11"/>
    <mergeCell ref="E4:E6"/>
    <mergeCell ref="F4:F6"/>
    <mergeCell ref="G4:G6"/>
    <mergeCell ref="H4:H6"/>
    <mergeCell ref="E7:E9"/>
    <mergeCell ref="F7:F9"/>
    <mergeCell ref="G7:G9"/>
    <mergeCell ref="H7:H9"/>
    <mergeCell ref="E10:E11"/>
    <mergeCell ref="F10:F11"/>
    <mergeCell ref="G10:G11"/>
    <mergeCell ref="B22:B24"/>
    <mergeCell ref="C22:C24"/>
    <mergeCell ref="BK4:BK49"/>
    <mergeCell ref="B12:B13"/>
    <mergeCell ref="H10:H11"/>
    <mergeCell ref="H14:H15"/>
    <mergeCell ref="C16:C18"/>
  </mergeCells>
  <pageMargins left="0.51181102362204722" right="0.11811023622047245" top="0.74803149606299213" bottom="0.74803149606299213" header="0.31496062992125984" footer="0.31496062992125984"/>
  <pageSetup paperSize="9" scale="85" pageOrder="overThenDown" orientation="portrait" verticalDpi="300" r:id="rId1"/>
  <ignoredErrors>
    <ignoredError sqref="DO44 DO31 DO19 DO16" formula="1"/>
    <ignoredError sqref="DO37 DO34 DO28 DO25 DO22 DO7 DO4" formulaRange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2026-07-01T08:49:53Z</dcterms:modified>
</cp:coreProperties>
</file>
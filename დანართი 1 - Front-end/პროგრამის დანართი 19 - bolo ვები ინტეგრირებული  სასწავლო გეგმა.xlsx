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50"/>
  </bookViews>
  <sheets>
    <sheet name="Sheet1" sheetId="1" r:id="rId1"/>
    <sheet name="Sheet3" sheetId="3" r:id="rId2"/>
  </sheets>
  <calcPr calcId="152511"/>
</workbook>
</file>

<file path=xl/calcChain.xml><?xml version="1.0" encoding="utf-8"?>
<calcChain xmlns="http://schemas.openxmlformats.org/spreadsheetml/2006/main">
  <c r="CA59" i="1" l="1"/>
  <c r="CA31" i="1"/>
  <c r="CA32" i="1"/>
  <c r="CA11" i="1"/>
  <c r="CA9" i="1"/>
  <c r="CA10" i="1"/>
  <c r="CA28" i="1" l="1"/>
  <c r="CA27" i="1"/>
  <c r="CA29" i="1"/>
  <c r="CA18" i="1" l="1"/>
  <c r="BF61" i="1" l="1"/>
  <c r="BJ61" i="1"/>
  <c r="BN61" i="1"/>
  <c r="BR61" i="1"/>
  <c r="BV61" i="1"/>
  <c r="BC61" i="1"/>
  <c r="BD61" i="1"/>
  <c r="BE61" i="1"/>
  <c r="BG61" i="1"/>
  <c r="BH61" i="1"/>
  <c r="BI61" i="1"/>
  <c r="BK61" i="1"/>
  <c r="BL61" i="1"/>
  <c r="BM61" i="1"/>
  <c r="BO61" i="1"/>
  <c r="BP61" i="1"/>
  <c r="BQ61" i="1"/>
  <c r="BS61" i="1"/>
  <c r="BT61" i="1"/>
  <c r="BU61" i="1"/>
  <c r="BW61" i="1"/>
  <c r="D61" i="1"/>
  <c r="CA19" i="1"/>
  <c r="CA37" i="1" l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60" i="1"/>
  <c r="CA21" i="1"/>
  <c r="CA24" i="1"/>
  <c r="CA16" i="1"/>
  <c r="CA12" i="1"/>
  <c r="CA13" i="1"/>
  <c r="CA14" i="1"/>
  <c r="CA15" i="1"/>
  <c r="AX61" i="1" l="1"/>
  <c r="AY61" i="1"/>
  <c r="AZ61" i="1"/>
  <c r="BA61" i="1"/>
  <c r="BB61" i="1"/>
  <c r="BX61" i="1"/>
  <c r="BY61" i="1"/>
  <c r="BZ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U61" i="1"/>
  <c r="AV61" i="1"/>
  <c r="AW61" i="1"/>
  <c r="CA5" i="1"/>
  <c r="CA6" i="1"/>
  <c r="CA7" i="1"/>
  <c r="CA33" i="1"/>
  <c r="CA34" i="1"/>
  <c r="CA35" i="1"/>
  <c r="CA36" i="1"/>
  <c r="CA61" i="1" l="1"/>
  <c r="C61" i="1" l="1"/>
  <c r="E61" i="1"/>
  <c r="F61" i="1"/>
  <c r="G61" i="1"/>
  <c r="H61" i="1"/>
  <c r="AY13" i="3" l="1"/>
  <c r="AY7" i="3"/>
  <c r="AY4" i="3"/>
  <c r="AY5" i="3"/>
  <c r="AY6" i="3"/>
  <c r="AY8" i="3"/>
  <c r="AY9" i="3"/>
  <c r="AY12" i="3"/>
  <c r="AY14" i="3"/>
  <c r="AY16" i="3"/>
  <c r="AY17" i="3"/>
  <c r="AY18" i="3"/>
  <c r="AY19" i="3"/>
  <c r="AY20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AY21" i="3" l="1"/>
  <c r="J61" i="1" l="1"/>
</calcChain>
</file>

<file path=xl/sharedStrings.xml><?xml version="1.0" encoding="utf-8"?>
<sst xmlns="http://schemas.openxmlformats.org/spreadsheetml/2006/main" count="124" uniqueCount="64">
  <si>
    <t>კვირეები</t>
  </si>
  <si>
    <t>კრედიტები</t>
  </si>
  <si>
    <t>საკონტდამოუ.გარეშე</t>
  </si>
  <si>
    <t>სულ სთ.</t>
  </si>
  <si>
    <t>დამოუკი</t>
  </si>
  <si>
    <t>შეფასება</t>
  </si>
  <si>
    <t>სულ კრედიტები</t>
  </si>
  <si>
    <t>მოდულის დასახელება და კოდი</t>
  </si>
  <si>
    <t>საკონტაქტო</t>
  </si>
  <si>
    <t>ზოგადი მოდულები</t>
  </si>
  <si>
    <t>საკონტ. დამოუკიდ. გარეშე</t>
  </si>
  <si>
    <t>ქართული ენა  A2 0110001</t>
  </si>
  <si>
    <t xml:space="preserve"> ზოგადი მოდულები</t>
  </si>
  <si>
    <t xml:space="preserve"> პროფესიული მოდულები</t>
  </si>
  <si>
    <t>ქართული ენა B1 0110002</t>
  </si>
  <si>
    <t>მეორე   ეტაპის მოდულ.</t>
  </si>
  <si>
    <t>მეოთხე   ეტაპის მოდულ.</t>
  </si>
  <si>
    <t>მესამე   ეტაპის მოდულ.</t>
  </si>
  <si>
    <t>პირველი   ეტაპის მოდულ.</t>
  </si>
  <si>
    <t>მოდულის დასახელება და სარეგისტრაციო ნომერი</t>
  </si>
  <si>
    <t>სულ:</t>
  </si>
  <si>
    <t>ს.შ 1,2,3 მე-20 კვირის ბოლო 2 საათი და 21-ე კვირის 4 საათი, ს.შ 4 დადასტურდება 28-ე კვირაში ბოლო 2 საათი.</t>
  </si>
  <si>
    <t>ს.შ 1 21-ე კვირას 1 საათი, ს.შ 2 36-ე კვირას 1 საათ, ს.შ 3 44-ე კვირას ბოლო 1 საათი.</t>
  </si>
  <si>
    <t>ს.შ 1 34-ე კვირას 1 საათი (პირველ საათზე), ს.შ 2 41-ე კვირას 1 საათი (პირველ საათზე), ს.შ 3 44-ე კვირას 1 საათი (მე-5 საათზე), ს.შ 4 44-ე კვირას ბოლო 1 საათი.</t>
  </si>
  <si>
    <t>ყველა სწავლის შედეგი დადასტურდება 44-ე კვირას ბოლო 2 საათი.</t>
  </si>
  <si>
    <t>ს.შ 1 მე-3 კვირას 1 საათი (მე-7 საათზე), ს.შ 2  მე-7 კვირას 2 საათი (მე-2 და მე-3 საათზე), ს.შ 3 მე-9 კვირას 1 საათი (მე-7 საათზე), ს.შ 4 მე-12 კვირას 2 საათი (მე-8 და მე-9 საათზე), ს.შ 5 მე-15 კვირას 1 საათი (მე-4 საათზე), ს.შ 6 მე-16 კვირას ბოლო 1 საათი.</t>
  </si>
  <si>
    <t>ს.შ 1,2,3 36-ე კვირას ბოლო 3 საათი, ს.შ 4,5 43-ე კვირას ბოლო 2 საათი.</t>
  </si>
  <si>
    <t>ს.შ 1 მე-18 კვირას (მე-7 საათზე), ს.შ 2 მე-20 კვირას 1 საათი (მე-4 საათზე), ს.შ 3 22-ე კვირას 1 საათი (მე-3 საათზე), ს.შ 4  24-ე კვირას ბოლო 1 საათი, ს.შ 5 27-ე კვირას ბოლო 1 საათი.</t>
  </si>
  <si>
    <t>ს.შ 1 33-2 კვირას პირველი 2 საათი, ს.შ 2 38-ე კვირას 1 საათი (მე-3 საათზე), ს.შ 3 43-ე კვირას ბოლო 1 საათი.</t>
  </si>
  <si>
    <t>ს.შ 1 37-ე კვირას ბოლო 1 საათი და 38-ე კვირას პირველი საათი, ს.შ 2  41-ე კვირას პირველი საათი, ს.შ 3 43-ე კვირას ბოლო 1 საათი.</t>
  </si>
  <si>
    <t>ს.შ 1 მე-20 კვირას 1 საათი (მე-4 საათზე), ს.შ 2  24-ე კვირას 1 საათი (მე-4 საათზე), ს.შ 3  33-ე კვირას პირველი საათი, ს.შ 4 34-ე კვირას ბოლო 1 საათი.</t>
  </si>
  <si>
    <t>ყველა სწავლის შედეგი დადასტურდება 47-ე კვირას ბოლო 3 საათი.</t>
  </si>
  <si>
    <t>ს.შ 1 30-ე კვირას 1 საათი (მე-3 საათზე), ს.შ 2 33-ე კვირას ბოლო 1 საათი, ს.შ 44-ე კვირას ბოლო 2 საათი.</t>
  </si>
  <si>
    <t>ს.შ 1 მე-2 კვირას 1 საათი (მე-8 საათზე), ს.შ 2  მე-4 კვირას 2 საათი (მე-3, მე-4 საათზე), ს.შ 3 მე-5 კვირას 1 საათი (მე-11 საათზე), ს.შ 4 მე-9 კვირას 2 საათი (მე-2 და მე-3 საათზე), ს.შ 5 მე-14 კვირას 3 საათი (მე-8, მე-9, მე-10 საათზე), ს.შ 6 მე-15 კვირას ბოლო 1 საათი.</t>
  </si>
  <si>
    <t>ს.შ 1 25-ე კვირას 1 საათი (პირველ საათზე), ს.შ 2 28-ე კვირას 3 საათი (მე-2, მე-3, მე-4 საათზე), ს.შ 3 35-ე კვირას 2 საათი (მე-2 და მე-3 სათზე), ს.შ 4 43-ე კვირას ბოლო 1 საათი.</t>
  </si>
  <si>
    <t>საათები</t>
  </si>
  <si>
    <t>საკ.</t>
  </si>
  <si>
    <t>შეფ.</t>
  </si>
  <si>
    <t>დამ.</t>
  </si>
  <si>
    <t>უცხოური ენა - ინგლისური 11.00.1</t>
  </si>
  <si>
    <t>მეწარმეობა 11.00.6</t>
  </si>
  <si>
    <t>ვებ გვერდის მარკირება და სტილებით გაფორმება 06.1.1.1</t>
  </si>
  <si>
    <t>ვებ გვერდის სტილიზაცია Sass/scss პრე პროცესორის და Tailwind ფრეიმვორკის გამოყენებით  06.1.1.2</t>
  </si>
  <si>
    <t>ვებგვერდის ინტერაქტიულობისა და ეფექტების შექმნა JavaScript-ის საშუალებით 06.1.1.3</t>
  </si>
  <si>
    <t>დინამიური ვებგვერდის  შექმნა typescript-ის საშუალებით 06.1.1.4</t>
  </si>
  <si>
    <t>ვებგვერდის ინტერაქტიულობისა და ეფექტების შემუშავება React-ის საშუალებით 06.1.1.5</t>
  </si>
  <si>
    <t>ვებ გვერდის ოპტიმიზაცია 06.1.1.6</t>
  </si>
  <si>
    <t>ვერსიების კონტროლი Git ტექნოლოგიის გამოყენებით 06.1.1.7</t>
  </si>
  <si>
    <t>დარგობრივი ინგლისური ენა Front-end დეველოპმენტისთვის 06.1.1.8</t>
  </si>
  <si>
    <t>ხელოვნური ინტელექტის გამოყენება 06.1.1.10</t>
  </si>
  <si>
    <t>პრაქტიკული პროექტი 06.1.1.9</t>
  </si>
  <si>
    <t>კომუნიკაცია ქართულ ენაზე 12.00.1</t>
  </si>
  <si>
    <t>მათემატიკური წიგნიერება 12.00.2</t>
  </si>
  <si>
    <t>მოქალაქეობა 12.00.3</t>
  </si>
  <si>
    <t>მეცნიერება და ტექნოლოგიები 12.00.4</t>
  </si>
  <si>
    <t>ესთეტიკა 12.00.5</t>
  </si>
  <si>
    <t>სპორტი 12.00.6</t>
  </si>
  <si>
    <t>პროგრამა: Front-end დეველოპმენტი, მეოთხე დონე (ინტეგრირებული)</t>
  </si>
  <si>
    <t>პროგრამის დანართი №19 - ინტეგრირებული სასწავლო გეგმა</t>
  </si>
  <si>
    <t>ზოგადი ინტეგრირებული მოდული</t>
  </si>
  <si>
    <t>მეხუთე ეტაპის მოდულ.</t>
  </si>
  <si>
    <t>შეფასების კვირა</t>
  </si>
  <si>
    <t>შეფასების საათები</t>
  </si>
  <si>
    <t>შ უ ა ლ ე დ უ რ ი   შ ე ფ ა ს ე ბ 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</si>
</sst>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  <charset val="204"/>
      <scheme val="minor"/>
    </font>
    <font>
      <b/>
      <sz val="10"/>
      <color theme="1"/>
      <name val="Sylfaen"/>
      <family val="1"/>
      <charset val="204"/>
    </font>
    <font>
      <sz val="10"/>
      <color theme="1"/>
      <name val="Sylfaen"/>
      <family val="1"/>
      <charset val="204"/>
    </font>
    <font>
      <sz val="9"/>
      <color theme="1"/>
      <name val="Sylfaen"/>
      <family val="1"/>
      <charset val="204"/>
    </font>
    <font>
      <sz val="9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9"/>
      <color theme="1"/>
      <name val="Sylfaen"/>
      <family val="1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sz val="9"/>
      <name val="Calibri"/>
      <family val="2"/>
      <scheme val="minor"/>
    </font>
    <font>
      <b/>
      <sz val="9"/>
      <color theme="1"/>
      <name val="Sylfaen"/>
      <family val="1"/>
    </font>
    <font>
      <sz val="10"/>
      <color theme="1"/>
      <name val="Sylfaen"/>
      <family val="1"/>
    </font>
    <font>
      <sz val="10"/>
      <name val="Sylfaen"/>
      <family val="1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Sylfaen"/>
      <family val="1"/>
    </font>
    <font>
      <b/>
      <sz val="11"/>
      <color theme="1"/>
      <name val="Sylfaen"/>
      <family val="1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0" fillId="2" borderId="0" xfId="0" applyFill="1"/>
    <xf numFmtId="0" fontId="0" fillId="0" borderId="4" xfId="0" applyBorder="1"/>
    <xf numFmtId="0" fontId="0" fillId="3" borderId="4" xfId="0" applyFill="1" applyBorder="1"/>
    <xf numFmtId="0" fontId="0" fillId="0" borderId="1" xfId="0" applyBorder="1"/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0" fontId="0" fillId="3" borderId="4" xfId="0" applyFill="1" applyBorder="1" applyAlignment="1">
      <alignment horizontal="right"/>
    </xf>
    <xf numFmtId="0" fontId="4" fillId="0" borderId="4" xfId="0" applyFont="1" applyBorder="1"/>
    <xf numFmtId="0" fontId="0" fillId="4" borderId="4" xfId="0" applyFill="1" applyBorder="1"/>
    <xf numFmtId="0" fontId="0" fillId="4" borderId="4" xfId="0" applyFill="1" applyBorder="1" applyAlignment="1">
      <alignment horizontal="right"/>
    </xf>
    <xf numFmtId="0" fontId="1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wrapText="1"/>
    </xf>
    <xf numFmtId="0" fontId="3" fillId="4" borderId="4" xfId="0" applyFont="1" applyFill="1" applyBorder="1" applyAlignment="1">
      <alignment textRotation="90" wrapText="1"/>
    </xf>
    <xf numFmtId="0" fontId="1" fillId="4" borderId="4" xfId="0" applyFont="1" applyFill="1" applyBorder="1"/>
    <xf numFmtId="0" fontId="0" fillId="4" borderId="3" xfId="0" applyFill="1" applyBorder="1"/>
    <xf numFmtId="0" fontId="0" fillId="4" borderId="4" xfId="0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textRotation="90" wrapText="1"/>
    </xf>
    <xf numFmtId="0" fontId="5" fillId="4" borderId="4" xfId="0" applyFont="1" applyFill="1" applyBorder="1" applyAlignment="1">
      <alignment horizontal="center" textRotation="90"/>
    </xf>
    <xf numFmtId="0" fontId="0" fillId="4" borderId="4" xfId="0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/>
    <xf numFmtId="0" fontId="0" fillId="4" borderId="3" xfId="0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/>
    <xf numFmtId="0" fontId="6" fillId="4" borderId="7" xfId="0" applyFont="1" applyFill="1" applyBorder="1" applyAlignment="1">
      <alignment horizontal="center" vertical="center" wrapText="1"/>
    </xf>
    <xf numFmtId="0" fontId="8" fillId="4" borderId="4" xfId="0" applyFont="1" applyFill="1" applyBorder="1"/>
    <xf numFmtId="0" fontId="7" fillId="4" borderId="7" xfId="0" applyFont="1" applyFill="1" applyBorder="1" applyAlignment="1">
      <alignment horizontal="center" vertical="center" wrapText="1"/>
    </xf>
    <xf numFmtId="0" fontId="8" fillId="4" borderId="0" xfId="0" applyFont="1" applyFill="1"/>
    <xf numFmtId="0" fontId="8" fillId="4" borderId="0" xfId="0" applyFont="1" applyFill="1" applyAlignment="1">
      <alignment wrapText="1"/>
    </xf>
    <xf numFmtId="0" fontId="8" fillId="4" borderId="4" xfId="0" applyFont="1" applyFill="1" applyBorder="1" applyAlignment="1">
      <alignment horizontal="left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wrapText="1"/>
    </xf>
    <xf numFmtId="0" fontId="9" fillId="4" borderId="4" xfId="0" applyFont="1" applyFill="1" applyBorder="1" applyAlignment="1">
      <alignment horizontal="left" wrapText="1"/>
    </xf>
    <xf numFmtId="0" fontId="8" fillId="4" borderId="4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4" fillId="4" borderId="3" xfId="0" applyFont="1" applyFill="1" applyBorder="1" applyAlignment="1">
      <alignment horizontal="center"/>
    </xf>
    <xf numFmtId="0" fontId="13" fillId="0" borderId="0" xfId="0" applyFont="1"/>
    <xf numFmtId="0" fontId="13" fillId="5" borderId="4" xfId="0" applyFont="1" applyFill="1" applyBorder="1"/>
    <xf numFmtId="0" fontId="13" fillId="0" borderId="4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3" borderId="0" xfId="0" applyFont="1" applyFill="1" applyBorder="1" applyAlignment="1">
      <alignment horizontal="right"/>
    </xf>
    <xf numFmtId="0" fontId="13" fillId="3" borderId="0" xfId="0" applyFont="1" applyFill="1" applyBorder="1"/>
    <xf numFmtId="0" fontId="15" fillId="0" borderId="0" xfId="0" applyFont="1"/>
    <xf numFmtId="0" fontId="13" fillId="4" borderId="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0" xfId="0" applyFont="1" applyAlignment="1"/>
    <xf numFmtId="0" fontId="9" fillId="3" borderId="0" xfId="0" applyFont="1" applyFill="1"/>
    <xf numFmtId="0" fontId="9" fillId="0" borderId="0" xfId="0" applyFont="1"/>
    <xf numFmtId="0" fontId="9" fillId="3" borderId="4" xfId="0" applyFont="1" applyFill="1" applyBorder="1"/>
    <xf numFmtId="0" fontId="17" fillId="0" borderId="4" xfId="0" applyFont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textRotation="90" wrapText="1"/>
    </xf>
    <xf numFmtId="0" fontId="9" fillId="5" borderId="4" xfId="0" applyFont="1" applyFill="1" applyBorder="1" applyAlignment="1">
      <alignment horizontal="center" vertical="center"/>
    </xf>
    <xf numFmtId="0" fontId="9" fillId="5" borderId="4" xfId="0" applyFont="1" applyFill="1" applyBorder="1"/>
    <xf numFmtId="0" fontId="9" fillId="4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/>
    <xf numFmtId="0" fontId="9" fillId="3" borderId="4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4" xfId="0" applyFont="1" applyFill="1" applyBorder="1"/>
    <xf numFmtId="0" fontId="17" fillId="3" borderId="4" xfId="0" applyFont="1" applyFill="1" applyBorder="1"/>
    <xf numFmtId="0" fontId="9" fillId="0" borderId="1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right"/>
    </xf>
    <xf numFmtId="0" fontId="9" fillId="4" borderId="4" xfId="0" applyFont="1" applyFill="1" applyBorder="1"/>
    <xf numFmtId="0" fontId="9" fillId="4" borderId="3" xfId="0" applyFont="1" applyFill="1" applyBorder="1"/>
    <xf numFmtId="0" fontId="19" fillId="0" borderId="4" xfId="0" applyFont="1" applyBorder="1" applyAlignment="1">
      <alignment horizontal="left" vertical="center"/>
    </xf>
    <xf numFmtId="0" fontId="20" fillId="3" borderId="4" xfId="0" applyFont="1" applyFill="1" applyBorder="1" applyAlignment="1">
      <alignment vertical="center" wrapText="1"/>
    </xf>
    <xf numFmtId="0" fontId="21" fillId="4" borderId="4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textRotation="90" wrapText="1"/>
    </xf>
    <xf numFmtId="0" fontId="9" fillId="4" borderId="0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9" fillId="9" borderId="4" xfId="0" applyFont="1" applyFill="1" applyBorder="1"/>
    <xf numFmtId="0" fontId="9" fillId="9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0" fillId="3" borderId="13" xfId="0" applyFill="1" applyBorder="1"/>
    <xf numFmtId="0" fontId="0" fillId="0" borderId="13" xfId="0" applyBorder="1"/>
    <xf numFmtId="0" fontId="8" fillId="0" borderId="0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/>
    </xf>
    <xf numFmtId="0" fontId="18" fillId="0" borderId="4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textRotation="90" wrapText="1"/>
    </xf>
    <xf numFmtId="0" fontId="18" fillId="4" borderId="4" xfId="0" applyFont="1" applyFill="1" applyBorder="1" applyAlignment="1">
      <alignment horizontal="center" textRotation="90"/>
    </xf>
    <xf numFmtId="0" fontId="17" fillId="2" borderId="3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/>
    </xf>
    <xf numFmtId="0" fontId="25" fillId="0" borderId="11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right" vertical="center"/>
    </xf>
    <xf numFmtId="0" fontId="18" fillId="3" borderId="4" xfId="0" applyFont="1" applyFill="1" applyBorder="1" applyAlignment="1">
      <alignment horizontal="center" textRotation="90" wrapText="1"/>
    </xf>
    <xf numFmtId="0" fontId="18" fillId="3" borderId="4" xfId="0" applyFont="1" applyFill="1" applyBorder="1" applyAlignment="1">
      <alignment horizontal="center" textRotation="90"/>
    </xf>
    <xf numFmtId="0" fontId="16" fillId="3" borderId="4" xfId="0" applyFont="1" applyFill="1" applyBorder="1" applyAlignment="1">
      <alignment horizontal="center" textRotation="90"/>
    </xf>
    <xf numFmtId="0" fontId="24" fillId="3" borderId="4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9" fillId="3" borderId="1" xfId="0" applyFont="1" applyFill="1" applyBorder="1"/>
    <xf numFmtId="0" fontId="9" fillId="9" borderId="1" xfId="0" applyFont="1" applyFill="1" applyBorder="1" applyAlignment="1">
      <alignment horizontal="center" vertical="center"/>
    </xf>
    <xf numFmtId="0" fontId="9" fillId="10" borderId="4" xfId="0" applyFont="1" applyFill="1" applyBorder="1"/>
    <xf numFmtId="0" fontId="9" fillId="10" borderId="1" xfId="0" applyFont="1" applyFill="1" applyBorder="1"/>
    <xf numFmtId="0" fontId="9" fillId="10" borderId="4" xfId="0" applyFont="1" applyFill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24" fillId="0" borderId="0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9" fillId="8" borderId="4" xfId="0" applyFont="1" applyFill="1" applyBorder="1"/>
    <xf numFmtId="0" fontId="13" fillId="11" borderId="4" xfId="0" applyFont="1" applyFill="1" applyBorder="1"/>
    <xf numFmtId="0" fontId="13" fillId="12" borderId="4" xfId="0" applyFont="1" applyFill="1" applyBorder="1"/>
    <xf numFmtId="0" fontId="13" fillId="13" borderId="4" xfId="0" applyFont="1" applyFill="1" applyBorder="1"/>
    <xf numFmtId="0" fontId="17" fillId="9" borderId="4" xfId="0" applyFont="1" applyFill="1" applyBorder="1"/>
    <xf numFmtId="0" fontId="13" fillId="14" borderId="4" xfId="0" applyFont="1" applyFill="1" applyBorder="1"/>
    <xf numFmtId="0" fontId="13" fillId="15" borderId="4" xfId="0" applyFont="1" applyFill="1" applyBorder="1"/>
    <xf numFmtId="0" fontId="9" fillId="14" borderId="4" xfId="0" applyFont="1" applyFill="1" applyBorder="1" applyAlignment="1">
      <alignment horizontal="center" vertical="center"/>
    </xf>
    <xf numFmtId="0" fontId="9" fillId="15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16" borderId="4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left" vertical="center" wrapText="1"/>
    </xf>
    <xf numFmtId="0" fontId="19" fillId="8" borderId="12" xfId="0" applyFont="1" applyFill="1" applyBorder="1" applyAlignment="1">
      <alignment horizontal="left" vertical="center" wrapText="1"/>
    </xf>
    <xf numFmtId="0" fontId="19" fillId="8" borderId="11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0" fontId="19" fillId="5" borderId="10" xfId="0" applyFont="1" applyFill="1" applyBorder="1" applyAlignment="1">
      <alignment horizontal="left" vertical="center"/>
    </xf>
    <xf numFmtId="0" fontId="19" fillId="5" borderId="12" xfId="0" applyFont="1" applyFill="1" applyBorder="1" applyAlignment="1">
      <alignment horizontal="left" vertical="center"/>
    </xf>
    <xf numFmtId="0" fontId="19" fillId="5" borderId="11" xfId="0" applyFont="1" applyFill="1" applyBorder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19" fillId="5" borderId="10" xfId="0" applyFont="1" applyFill="1" applyBorder="1" applyAlignment="1">
      <alignment horizontal="left" vertical="center" wrapText="1"/>
    </xf>
    <xf numFmtId="0" fontId="19" fillId="5" borderId="12" xfId="0" applyFont="1" applyFill="1" applyBorder="1" applyAlignment="1">
      <alignment horizontal="left" vertical="center" wrapText="1"/>
    </xf>
    <xf numFmtId="0" fontId="19" fillId="5" borderId="11" xfId="0" applyFont="1" applyFill="1" applyBorder="1" applyAlignment="1">
      <alignment horizontal="left" vertical="center" wrapText="1"/>
    </xf>
    <xf numFmtId="0" fontId="19" fillId="6" borderId="10" xfId="0" applyFont="1" applyFill="1" applyBorder="1" applyAlignment="1">
      <alignment horizontal="left" vertical="center"/>
    </xf>
    <xf numFmtId="0" fontId="19" fillId="6" borderId="12" xfId="0" applyFont="1" applyFill="1" applyBorder="1" applyAlignment="1">
      <alignment horizontal="left" vertical="center"/>
    </xf>
    <xf numFmtId="0" fontId="19" fillId="6" borderId="11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left" vertical="center" wrapText="1"/>
    </xf>
    <xf numFmtId="0" fontId="7" fillId="5" borderId="12" xfId="0" applyFont="1" applyFill="1" applyBorder="1" applyAlignment="1">
      <alignment horizontal="left" vertical="center" wrapText="1"/>
    </xf>
    <xf numFmtId="0" fontId="7" fillId="5" borderId="11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left" vertical="center" wrapText="1"/>
    </xf>
    <xf numFmtId="0" fontId="7" fillId="10" borderId="12" xfId="0" applyFont="1" applyFill="1" applyBorder="1" applyAlignment="1">
      <alignment horizontal="left" vertical="center" wrapText="1"/>
    </xf>
    <xf numFmtId="0" fontId="7" fillId="10" borderId="11" xfId="0" applyFont="1" applyFill="1" applyBorder="1" applyAlignment="1">
      <alignment horizontal="left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7" fillId="6" borderId="12" xfId="0" applyFont="1" applyFill="1" applyBorder="1" applyAlignment="1">
      <alignment horizontal="left" vertical="center" wrapText="1"/>
    </xf>
    <xf numFmtId="0" fontId="7" fillId="6" borderId="11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left" vertical="center" wrapText="1"/>
    </xf>
    <xf numFmtId="0" fontId="7" fillId="8" borderId="12" xfId="0" applyFont="1" applyFill="1" applyBorder="1" applyAlignment="1">
      <alignment horizontal="left" vertical="center" wrapText="1"/>
    </xf>
    <xf numFmtId="0" fontId="7" fillId="8" borderId="11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left" vertical="center" wrapText="1"/>
    </xf>
    <xf numFmtId="0" fontId="7" fillId="9" borderId="12" xfId="0" applyFont="1" applyFill="1" applyBorder="1" applyAlignment="1">
      <alignment horizontal="left" vertical="center" wrapText="1"/>
    </xf>
    <xf numFmtId="0" fontId="7" fillId="9" borderId="11" xfId="0" applyFont="1" applyFill="1" applyBorder="1" applyAlignment="1">
      <alignment horizontal="left" vertical="center" wrapText="1"/>
    </xf>
    <xf numFmtId="0" fontId="25" fillId="0" borderId="13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19" fillId="8" borderId="10" xfId="0" applyFont="1" applyFill="1" applyBorder="1" applyAlignment="1">
      <alignment horizontal="left"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11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1" fillId="3" borderId="10" xfId="0" applyFont="1" applyFill="1" applyBorder="1" applyAlignment="1">
      <alignment horizontal="center" vertical="center" textRotation="90"/>
    </xf>
    <xf numFmtId="0" fontId="21" fillId="3" borderId="12" xfId="0" applyFont="1" applyFill="1" applyBorder="1" applyAlignment="1">
      <alignment horizontal="center" vertical="center" textRotation="90"/>
    </xf>
    <xf numFmtId="0" fontId="21" fillId="3" borderId="1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68"/>
  <sheetViews>
    <sheetView tabSelected="1" view="pageBreakPreview" zoomScale="87" zoomScaleNormal="106" zoomScaleSheetLayoutView="87" workbookViewId="0">
      <pane xSplit="8" ySplit="3" topLeftCell="AB20" activePane="bottomRight" state="frozen"/>
      <selection pane="topRight" activeCell="L1" sqref="L1"/>
      <selection pane="bottomLeft" activeCell="A3" sqref="A3"/>
      <selection pane="bottomRight" activeCell="BC33" sqref="BC33"/>
    </sheetView>
  </sheetViews>
  <sheetFormatPr defaultRowHeight="15" x14ac:dyDescent="0.25"/>
  <cols>
    <col min="1" max="1" width="4.28515625" style="7" customWidth="1"/>
    <col min="2" max="2" width="43.7109375" customWidth="1"/>
    <col min="3" max="3" width="5.5703125" customWidth="1"/>
    <col min="4" max="4" width="6.42578125" customWidth="1"/>
    <col min="5" max="5" width="7.140625" customWidth="1"/>
    <col min="6" max="6" width="6.7109375" customWidth="1"/>
    <col min="7" max="8" width="5.5703125" customWidth="1"/>
    <col min="9" max="9" width="6.5703125" customWidth="1"/>
    <col min="10" max="10" width="4.28515625" customWidth="1"/>
    <col min="11" max="24" width="4.140625" customWidth="1"/>
    <col min="25" max="25" width="3.7109375" customWidth="1"/>
    <col min="26" max="78" width="4.140625" customWidth="1"/>
    <col min="79" max="79" width="8.42578125" customWidth="1"/>
    <col min="80" max="80" width="88.42578125" hidden="1" customWidth="1"/>
    <col min="81" max="81" width="2.5703125" customWidth="1"/>
    <col min="82" max="82" width="8.42578125" customWidth="1"/>
  </cols>
  <sheetData>
    <row r="1" spans="1:81" ht="20.25" customHeight="1" x14ac:dyDescent="0.25">
      <c r="A1" s="102"/>
      <c r="AL1" s="219" t="s">
        <v>58</v>
      </c>
      <c r="AM1" s="219"/>
      <c r="AN1" s="219"/>
      <c r="AO1" s="219"/>
      <c r="AP1" s="219"/>
      <c r="AQ1" s="219"/>
      <c r="AR1" s="219"/>
      <c r="AS1" s="219"/>
      <c r="AT1" s="219"/>
      <c r="AU1" s="219"/>
      <c r="AV1" s="219"/>
      <c r="AW1" s="219"/>
      <c r="AX1" s="219"/>
      <c r="AY1" s="219"/>
      <c r="AZ1" s="219"/>
      <c r="BA1" s="219"/>
      <c r="BB1" s="219"/>
      <c r="BC1" s="219"/>
      <c r="BD1" s="219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  <c r="BU1" s="125"/>
      <c r="BV1" s="125"/>
      <c r="BW1" s="125"/>
      <c r="BX1" s="125"/>
      <c r="BY1" s="125"/>
      <c r="BZ1" s="125"/>
      <c r="CA1" s="103"/>
    </row>
    <row r="2" spans="1:81" ht="18.75" customHeight="1" x14ac:dyDescent="0.25">
      <c r="A2" s="59"/>
      <c r="B2" s="221" t="s">
        <v>57</v>
      </c>
      <c r="C2" s="222"/>
      <c r="D2" s="222"/>
      <c r="E2" s="222"/>
      <c r="F2" s="222"/>
      <c r="G2" s="222"/>
      <c r="H2" s="222"/>
      <c r="I2" s="223"/>
      <c r="J2" s="175" t="s">
        <v>0</v>
      </c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60"/>
      <c r="CC2" s="60"/>
    </row>
    <row r="3" spans="1:81" ht="75" customHeight="1" x14ac:dyDescent="0.25">
      <c r="A3" s="61"/>
      <c r="B3" s="107" t="s">
        <v>19</v>
      </c>
      <c r="C3" s="108" t="s">
        <v>1</v>
      </c>
      <c r="D3" s="108" t="s">
        <v>10</v>
      </c>
      <c r="E3" s="108" t="s">
        <v>3</v>
      </c>
      <c r="F3" s="109" t="s">
        <v>8</v>
      </c>
      <c r="G3" s="108" t="s">
        <v>4</v>
      </c>
      <c r="H3" s="109" t="s">
        <v>5</v>
      </c>
      <c r="I3" s="109" t="s">
        <v>35</v>
      </c>
      <c r="J3" s="62">
        <v>1</v>
      </c>
      <c r="K3" s="62">
        <v>2</v>
      </c>
      <c r="L3" s="62">
        <v>3</v>
      </c>
      <c r="M3" s="62">
        <v>4</v>
      </c>
      <c r="N3" s="62">
        <v>5</v>
      </c>
      <c r="O3" s="62">
        <v>6</v>
      </c>
      <c r="P3" s="62">
        <v>7</v>
      </c>
      <c r="Q3" s="63">
        <v>8</v>
      </c>
      <c r="R3" s="63">
        <v>9</v>
      </c>
      <c r="S3" s="62">
        <v>10</v>
      </c>
      <c r="T3" s="62">
        <v>11</v>
      </c>
      <c r="U3" s="62">
        <v>12</v>
      </c>
      <c r="V3" s="62">
        <v>13</v>
      </c>
      <c r="W3" s="62">
        <v>14</v>
      </c>
      <c r="X3" s="62">
        <v>15</v>
      </c>
      <c r="Y3" s="62">
        <v>16</v>
      </c>
      <c r="Z3" s="62">
        <v>17</v>
      </c>
      <c r="AA3" s="62">
        <v>18</v>
      </c>
      <c r="AB3" s="62">
        <v>19</v>
      </c>
      <c r="AC3" s="62">
        <v>20</v>
      </c>
      <c r="AD3" s="62">
        <v>21</v>
      </c>
      <c r="AE3" s="62">
        <v>22</v>
      </c>
      <c r="AF3" s="62">
        <v>23</v>
      </c>
      <c r="AG3" s="62">
        <v>24</v>
      </c>
      <c r="AH3" s="62">
        <v>25</v>
      </c>
      <c r="AI3" s="62">
        <v>26</v>
      </c>
      <c r="AJ3" s="62">
        <v>27</v>
      </c>
      <c r="AK3" s="62">
        <v>29</v>
      </c>
      <c r="AL3" s="62">
        <v>30</v>
      </c>
      <c r="AM3" s="62">
        <v>31</v>
      </c>
      <c r="AN3" s="62">
        <v>32</v>
      </c>
      <c r="AO3" s="62">
        <v>33</v>
      </c>
      <c r="AP3" s="62">
        <v>34</v>
      </c>
      <c r="AQ3" s="62">
        <v>35</v>
      </c>
      <c r="AR3" s="62">
        <v>36</v>
      </c>
      <c r="AS3" s="62">
        <v>37</v>
      </c>
      <c r="AT3" s="62">
        <v>38</v>
      </c>
      <c r="AU3" s="62">
        <v>39</v>
      </c>
      <c r="AV3" s="62">
        <v>40</v>
      </c>
      <c r="AW3" s="62">
        <v>41</v>
      </c>
      <c r="AX3" s="62">
        <v>42</v>
      </c>
      <c r="AY3" s="62">
        <v>43</v>
      </c>
      <c r="AZ3" s="62">
        <v>44</v>
      </c>
      <c r="BA3" s="62">
        <v>45</v>
      </c>
      <c r="BB3" s="62">
        <v>46</v>
      </c>
      <c r="BC3" s="62">
        <v>47</v>
      </c>
      <c r="BD3" s="62">
        <v>48</v>
      </c>
      <c r="BE3" s="62">
        <v>49</v>
      </c>
      <c r="BF3" s="62">
        <v>50</v>
      </c>
      <c r="BG3" s="62">
        <v>51</v>
      </c>
      <c r="BH3" s="62">
        <v>52</v>
      </c>
      <c r="BI3" s="62">
        <v>53</v>
      </c>
      <c r="BJ3" s="62">
        <v>54</v>
      </c>
      <c r="BK3" s="62">
        <v>55</v>
      </c>
      <c r="BL3" s="62">
        <v>56</v>
      </c>
      <c r="BM3" s="62">
        <v>57</v>
      </c>
      <c r="BN3" s="62">
        <v>58</v>
      </c>
      <c r="BO3" s="62">
        <v>59</v>
      </c>
      <c r="BP3" s="62">
        <v>60</v>
      </c>
      <c r="BQ3" s="62">
        <v>61</v>
      </c>
      <c r="BR3" s="62">
        <v>62</v>
      </c>
      <c r="BS3" s="62">
        <v>63</v>
      </c>
      <c r="BT3" s="62">
        <v>64</v>
      </c>
      <c r="BU3" s="62">
        <v>65</v>
      </c>
      <c r="BV3" s="62">
        <v>66</v>
      </c>
      <c r="BW3" s="62">
        <v>67</v>
      </c>
      <c r="BX3" s="62">
        <v>68</v>
      </c>
      <c r="BY3" s="62">
        <v>69</v>
      </c>
      <c r="BZ3" s="62">
        <v>70</v>
      </c>
      <c r="CA3" s="64" t="s">
        <v>3</v>
      </c>
      <c r="CC3" s="89"/>
    </row>
    <row r="4" spans="1:81" ht="14.25" customHeight="1" x14ac:dyDescent="0.25">
      <c r="A4" s="61"/>
      <c r="B4" s="118" t="s">
        <v>12</v>
      </c>
      <c r="C4" s="115"/>
      <c r="D4" s="115"/>
      <c r="E4" s="115"/>
      <c r="F4" s="116"/>
      <c r="G4" s="115"/>
      <c r="H4" s="116"/>
      <c r="I4" s="117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4"/>
      <c r="CC4" s="89"/>
    </row>
    <row r="5" spans="1:81" ht="18" customHeight="1" x14ac:dyDescent="0.25">
      <c r="A5" s="156">
        <v>1</v>
      </c>
      <c r="B5" s="178" t="s">
        <v>39</v>
      </c>
      <c r="C5" s="159">
        <v>3</v>
      </c>
      <c r="D5" s="162">
        <v>69</v>
      </c>
      <c r="E5" s="162">
        <v>75</v>
      </c>
      <c r="F5" s="184">
        <v>65</v>
      </c>
      <c r="G5" s="184">
        <v>6</v>
      </c>
      <c r="H5" s="185">
        <v>4</v>
      </c>
      <c r="I5" s="106" t="s">
        <v>36</v>
      </c>
      <c r="J5" s="65">
        <v>3</v>
      </c>
      <c r="K5" s="65">
        <v>3</v>
      </c>
      <c r="L5" s="65">
        <v>3</v>
      </c>
      <c r="M5" s="65">
        <v>3</v>
      </c>
      <c r="N5" s="65">
        <v>3</v>
      </c>
      <c r="O5" s="65">
        <v>3</v>
      </c>
      <c r="P5" s="65">
        <v>3</v>
      </c>
      <c r="Q5" s="143">
        <v>2</v>
      </c>
      <c r="R5" s="65">
        <v>3</v>
      </c>
      <c r="S5" s="65">
        <v>3</v>
      </c>
      <c r="T5" s="65">
        <v>3</v>
      </c>
      <c r="U5" s="65">
        <v>3</v>
      </c>
      <c r="V5" s="65">
        <v>3</v>
      </c>
      <c r="W5" s="65">
        <v>3</v>
      </c>
      <c r="X5" s="65">
        <v>3</v>
      </c>
      <c r="Y5" s="65">
        <v>3</v>
      </c>
      <c r="Z5" s="65">
        <v>3</v>
      </c>
      <c r="AA5" s="65">
        <v>3</v>
      </c>
      <c r="AB5" s="65">
        <v>3</v>
      </c>
      <c r="AC5" s="65">
        <v>3</v>
      </c>
      <c r="AD5" s="65">
        <v>3</v>
      </c>
      <c r="AE5" s="65">
        <v>3</v>
      </c>
      <c r="AF5" s="143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233" t="s">
        <v>63</v>
      </c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7">
        <f>SUM(J5:BB5)</f>
        <v>65</v>
      </c>
      <c r="CB5" s="171" t="s">
        <v>21</v>
      </c>
      <c r="CC5" s="90"/>
    </row>
    <row r="6" spans="1:81" ht="17.25" customHeight="1" x14ac:dyDescent="0.25">
      <c r="A6" s="157"/>
      <c r="B6" s="179"/>
      <c r="C6" s="160"/>
      <c r="D6" s="163"/>
      <c r="E6" s="163"/>
      <c r="F6" s="184"/>
      <c r="G6" s="184"/>
      <c r="H6" s="185"/>
      <c r="I6" s="106" t="s">
        <v>37</v>
      </c>
      <c r="J6" s="65"/>
      <c r="K6" s="65"/>
      <c r="L6" s="65"/>
      <c r="M6" s="65"/>
      <c r="N6" s="65"/>
      <c r="O6" s="65"/>
      <c r="P6" s="65"/>
      <c r="Q6" s="144">
        <v>1</v>
      </c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144">
        <v>3</v>
      </c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234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7">
        <f>SUM(J6:BB6)</f>
        <v>4</v>
      </c>
      <c r="CB6" s="171"/>
      <c r="CC6" s="90"/>
    </row>
    <row r="7" spans="1:81" ht="14.25" customHeight="1" x14ac:dyDescent="0.25">
      <c r="A7" s="158"/>
      <c r="B7" s="180"/>
      <c r="C7" s="161"/>
      <c r="D7" s="164"/>
      <c r="E7" s="164"/>
      <c r="F7" s="184"/>
      <c r="G7" s="184"/>
      <c r="H7" s="185"/>
      <c r="I7" s="106" t="s">
        <v>38</v>
      </c>
      <c r="J7" s="68">
        <v>1</v>
      </c>
      <c r="K7" s="68"/>
      <c r="L7" s="68"/>
      <c r="M7" s="68"/>
      <c r="N7" s="68"/>
      <c r="O7" s="68"/>
      <c r="P7" s="68">
        <v>1</v>
      </c>
      <c r="Q7" s="68"/>
      <c r="R7" s="68"/>
      <c r="S7" s="68">
        <v>1</v>
      </c>
      <c r="T7" s="68"/>
      <c r="U7" s="68"/>
      <c r="V7" s="68"/>
      <c r="W7" s="68">
        <v>1</v>
      </c>
      <c r="X7" s="68"/>
      <c r="Y7" s="68"/>
      <c r="Z7" s="68">
        <v>1</v>
      </c>
      <c r="AA7" s="68"/>
      <c r="AB7" s="68"/>
      <c r="AC7" s="68"/>
      <c r="AD7" s="68"/>
      <c r="AE7" s="68">
        <v>1</v>
      </c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234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7">
        <f>SUM(J7:BB7)</f>
        <v>6</v>
      </c>
      <c r="CB7" s="171"/>
      <c r="CC7" s="90"/>
    </row>
    <row r="8" spans="1:81" ht="18.75" customHeight="1" x14ac:dyDescent="0.25">
      <c r="A8" s="132"/>
      <c r="B8" s="135" t="s">
        <v>59</v>
      </c>
      <c r="C8" s="131"/>
      <c r="D8" s="133"/>
      <c r="E8" s="133"/>
      <c r="F8" s="129"/>
      <c r="G8" s="129"/>
      <c r="H8" s="130"/>
      <c r="I8" s="106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234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7"/>
      <c r="CB8" s="134"/>
      <c r="CC8" s="90"/>
    </row>
    <row r="9" spans="1:81" ht="13.5" customHeight="1" x14ac:dyDescent="0.25">
      <c r="A9" s="156">
        <v>2</v>
      </c>
      <c r="B9" s="181" t="s">
        <v>40</v>
      </c>
      <c r="C9" s="165">
        <v>4</v>
      </c>
      <c r="D9" s="150">
        <v>91</v>
      </c>
      <c r="E9" s="150">
        <v>100</v>
      </c>
      <c r="F9" s="186">
        <v>86</v>
      </c>
      <c r="G9" s="186">
        <v>9</v>
      </c>
      <c r="H9" s="192">
        <v>5</v>
      </c>
      <c r="I9" s="106" t="s">
        <v>36</v>
      </c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>
        <v>2</v>
      </c>
      <c r="AI9" s="76">
        <v>2</v>
      </c>
      <c r="AJ9" s="76">
        <v>2</v>
      </c>
      <c r="AK9" s="76">
        <v>2</v>
      </c>
      <c r="AL9" s="76">
        <v>2</v>
      </c>
      <c r="AM9" s="143">
        <v>1</v>
      </c>
      <c r="AN9" s="76">
        <v>2</v>
      </c>
      <c r="AO9" s="76">
        <v>2</v>
      </c>
      <c r="AP9" s="76">
        <v>2</v>
      </c>
      <c r="AQ9" s="76">
        <v>2</v>
      </c>
      <c r="AR9" s="76">
        <v>2</v>
      </c>
      <c r="AS9" s="76">
        <v>1</v>
      </c>
      <c r="AT9" s="234"/>
      <c r="AU9" s="76">
        <v>2</v>
      </c>
      <c r="AV9" s="76">
        <v>2</v>
      </c>
      <c r="AW9" s="76">
        <v>2</v>
      </c>
      <c r="AX9" s="76">
        <v>2</v>
      </c>
      <c r="AY9" s="76">
        <v>2</v>
      </c>
      <c r="AZ9" s="76">
        <v>2</v>
      </c>
      <c r="BA9" s="76">
        <v>2</v>
      </c>
      <c r="BB9" s="76">
        <v>2</v>
      </c>
      <c r="BC9" s="76">
        <v>3</v>
      </c>
      <c r="BD9" s="76">
        <v>3</v>
      </c>
      <c r="BE9" s="76">
        <v>3</v>
      </c>
      <c r="BF9" s="76">
        <v>3</v>
      </c>
      <c r="BG9" s="76">
        <v>3</v>
      </c>
      <c r="BH9" s="76">
        <v>4</v>
      </c>
      <c r="BI9" s="76">
        <v>4</v>
      </c>
      <c r="BJ9" s="76">
        <v>4</v>
      </c>
      <c r="BK9" s="76">
        <v>4</v>
      </c>
      <c r="BL9" s="76">
        <v>4</v>
      </c>
      <c r="BM9" s="76">
        <v>4</v>
      </c>
      <c r="BN9" s="76">
        <v>4</v>
      </c>
      <c r="BO9" s="76">
        <v>3</v>
      </c>
      <c r="BP9" s="143">
        <v>2</v>
      </c>
      <c r="BQ9" s="143"/>
      <c r="BR9" s="76"/>
      <c r="BS9" s="76"/>
      <c r="BT9" s="76"/>
      <c r="BU9" s="76"/>
      <c r="BV9" s="76"/>
      <c r="BW9" s="76"/>
      <c r="BX9" s="76"/>
      <c r="BY9" s="76"/>
      <c r="BZ9" s="76"/>
      <c r="CA9" s="67">
        <f>SUM(AH9:BZ9)</f>
        <v>86</v>
      </c>
      <c r="CB9" s="171" t="s">
        <v>22</v>
      </c>
      <c r="CC9" s="90"/>
    </row>
    <row r="10" spans="1:81" ht="15" customHeight="1" x14ac:dyDescent="0.25">
      <c r="A10" s="157"/>
      <c r="B10" s="182"/>
      <c r="C10" s="166"/>
      <c r="D10" s="151"/>
      <c r="E10" s="151"/>
      <c r="F10" s="187"/>
      <c r="G10" s="187"/>
      <c r="H10" s="193"/>
      <c r="I10" s="106" t="s">
        <v>37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144">
        <v>1</v>
      </c>
      <c r="AN10" s="76"/>
      <c r="AO10" s="76"/>
      <c r="AP10" s="76"/>
      <c r="AQ10" s="76"/>
      <c r="AR10" s="76"/>
      <c r="AS10" s="76"/>
      <c r="AT10" s="234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144">
        <v>1</v>
      </c>
      <c r="BQ10" s="144">
        <v>3</v>
      </c>
      <c r="BR10" s="76"/>
      <c r="BS10" s="76"/>
      <c r="BT10" s="76"/>
      <c r="BU10" s="76"/>
      <c r="BV10" s="76"/>
      <c r="BW10" s="76"/>
      <c r="BX10" s="76"/>
      <c r="BY10" s="76"/>
      <c r="BZ10" s="76"/>
      <c r="CA10" s="67">
        <f>SUM(AH10:BZ10)</f>
        <v>5</v>
      </c>
      <c r="CB10" s="171"/>
      <c r="CC10" s="90"/>
    </row>
    <row r="11" spans="1:81" ht="15.75" customHeight="1" x14ac:dyDescent="0.25">
      <c r="A11" s="158"/>
      <c r="B11" s="183"/>
      <c r="C11" s="167"/>
      <c r="D11" s="152"/>
      <c r="E11" s="152"/>
      <c r="F11" s="188"/>
      <c r="G11" s="188"/>
      <c r="H11" s="194"/>
      <c r="I11" s="106" t="s">
        <v>38</v>
      </c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8"/>
      <c r="AH11" s="68">
        <v>0.5</v>
      </c>
      <c r="AI11" s="68"/>
      <c r="AJ11" s="68"/>
      <c r="AK11" s="68"/>
      <c r="AL11" s="61">
        <v>1</v>
      </c>
      <c r="AM11" s="68"/>
      <c r="AN11" s="68"/>
      <c r="AO11" s="68"/>
      <c r="AP11" s="68"/>
      <c r="AQ11" s="68">
        <v>1</v>
      </c>
      <c r="AR11" s="68"/>
      <c r="AS11" s="68"/>
      <c r="AT11" s="234"/>
      <c r="AU11" s="68"/>
      <c r="AV11" s="68"/>
      <c r="AW11" s="68"/>
      <c r="AX11" s="68">
        <v>1</v>
      </c>
      <c r="AY11" s="61"/>
      <c r="AZ11" s="68"/>
      <c r="BA11" s="61"/>
      <c r="BB11" s="68">
        <v>1</v>
      </c>
      <c r="BC11" s="68"/>
      <c r="BD11" s="68"/>
      <c r="BE11" s="68">
        <v>1</v>
      </c>
      <c r="BF11" s="68"/>
      <c r="BG11" s="68"/>
      <c r="BH11" s="68"/>
      <c r="BI11" s="68">
        <v>1</v>
      </c>
      <c r="BJ11" s="68"/>
      <c r="BK11" s="68"/>
      <c r="BL11" s="68">
        <v>1</v>
      </c>
      <c r="BM11" s="68"/>
      <c r="BN11" s="68"/>
      <c r="BO11" s="68">
        <v>0.5</v>
      </c>
      <c r="BP11" s="68">
        <v>1</v>
      </c>
      <c r="BQ11" s="68"/>
      <c r="BR11" s="68"/>
      <c r="BS11" s="68"/>
      <c r="BT11" s="68"/>
      <c r="BU11" s="68"/>
      <c r="BV11" s="68"/>
      <c r="BW11" s="68"/>
      <c r="BX11" s="68"/>
      <c r="BY11" s="68"/>
      <c r="BZ11" s="68"/>
      <c r="CA11" s="67">
        <f>SUM(U11:BZ11)</f>
        <v>9</v>
      </c>
      <c r="CB11" s="171"/>
      <c r="CC11" s="90"/>
    </row>
    <row r="12" spans="1:81" ht="17.25" customHeight="1" x14ac:dyDescent="0.25">
      <c r="A12" s="156">
        <v>3</v>
      </c>
      <c r="B12" s="168" t="s">
        <v>51</v>
      </c>
      <c r="C12" s="165">
        <v>8</v>
      </c>
      <c r="D12" s="153">
        <v>200</v>
      </c>
      <c r="E12" s="150">
        <v>200</v>
      </c>
      <c r="F12" s="150">
        <v>200</v>
      </c>
      <c r="G12" s="187"/>
      <c r="H12" s="220"/>
      <c r="I12" s="106" t="s">
        <v>36</v>
      </c>
      <c r="J12" s="65">
        <v>4</v>
      </c>
      <c r="K12" s="65">
        <v>4</v>
      </c>
      <c r="L12" s="65">
        <v>4</v>
      </c>
      <c r="M12" s="65">
        <v>4</v>
      </c>
      <c r="N12" s="65">
        <v>4</v>
      </c>
      <c r="O12" s="65">
        <v>4</v>
      </c>
      <c r="P12" s="65">
        <v>4</v>
      </c>
      <c r="Q12" s="65">
        <v>4</v>
      </c>
      <c r="R12" s="65">
        <v>4</v>
      </c>
      <c r="S12" s="65">
        <v>4</v>
      </c>
      <c r="T12" s="65">
        <v>4</v>
      </c>
      <c r="U12" s="65">
        <v>4</v>
      </c>
      <c r="V12" s="65">
        <v>4</v>
      </c>
      <c r="W12" s="65">
        <v>4</v>
      </c>
      <c r="X12" s="65">
        <v>4</v>
      </c>
      <c r="Y12" s="65">
        <v>4</v>
      </c>
      <c r="Z12" s="65">
        <v>4</v>
      </c>
      <c r="AA12" s="65">
        <v>4</v>
      </c>
      <c r="AB12" s="65">
        <v>4</v>
      </c>
      <c r="AC12" s="65">
        <v>4</v>
      </c>
      <c r="AD12" s="65">
        <v>4</v>
      </c>
      <c r="AE12" s="65">
        <v>4</v>
      </c>
      <c r="AF12" s="65">
        <v>4</v>
      </c>
      <c r="AG12" s="65">
        <v>3</v>
      </c>
      <c r="AH12" s="65">
        <v>3</v>
      </c>
      <c r="AI12" s="65">
        <v>3</v>
      </c>
      <c r="AJ12" s="65">
        <v>3</v>
      </c>
      <c r="AK12" s="65">
        <v>3</v>
      </c>
      <c r="AL12" s="65">
        <v>3</v>
      </c>
      <c r="AM12" s="65">
        <v>3</v>
      </c>
      <c r="AN12" s="65">
        <v>3</v>
      </c>
      <c r="AO12" s="65">
        <v>3</v>
      </c>
      <c r="AP12" s="65">
        <v>3</v>
      </c>
      <c r="AQ12" s="65">
        <v>3</v>
      </c>
      <c r="AR12" s="65">
        <v>3</v>
      </c>
      <c r="AS12" s="65">
        <v>3</v>
      </c>
      <c r="AT12" s="234"/>
      <c r="AU12" s="65">
        <v>3</v>
      </c>
      <c r="AV12" s="65">
        <v>3</v>
      </c>
      <c r="AW12" s="65">
        <v>3</v>
      </c>
      <c r="AX12" s="65">
        <v>3</v>
      </c>
      <c r="AY12" s="65">
        <v>3</v>
      </c>
      <c r="AZ12" s="65">
        <v>3</v>
      </c>
      <c r="BA12" s="65">
        <v>3</v>
      </c>
      <c r="BB12" s="65">
        <v>3</v>
      </c>
      <c r="BC12" s="65">
        <v>3</v>
      </c>
      <c r="BD12" s="65">
        <v>3</v>
      </c>
      <c r="BE12" s="65">
        <v>3</v>
      </c>
      <c r="BF12" s="65">
        <v>3</v>
      </c>
      <c r="BG12" s="65">
        <v>3</v>
      </c>
      <c r="BH12" s="65">
        <v>3</v>
      </c>
      <c r="BI12" s="65">
        <v>3</v>
      </c>
      <c r="BJ12" s="65">
        <v>3</v>
      </c>
      <c r="BK12" s="65">
        <v>3</v>
      </c>
      <c r="BL12" s="65">
        <v>3</v>
      </c>
      <c r="BM12" s="65">
        <v>3</v>
      </c>
      <c r="BN12" s="65">
        <v>3</v>
      </c>
      <c r="BO12" s="65">
        <v>3</v>
      </c>
      <c r="BP12" s="65">
        <v>3</v>
      </c>
      <c r="BQ12" s="65">
        <v>3</v>
      </c>
      <c r="BR12" s="65"/>
      <c r="BS12" s="65"/>
      <c r="BT12" s="65"/>
      <c r="BU12" s="65"/>
      <c r="BV12" s="65"/>
      <c r="BW12" s="65"/>
      <c r="BX12" s="65"/>
      <c r="BY12" s="65"/>
      <c r="BZ12" s="65"/>
      <c r="CA12" s="67">
        <f>SUM(J12:BZ12)</f>
        <v>200</v>
      </c>
      <c r="CB12" s="171" t="s">
        <v>23</v>
      </c>
      <c r="CC12" s="90"/>
    </row>
    <row r="13" spans="1:81" ht="17.25" customHeight="1" x14ac:dyDescent="0.25">
      <c r="A13" s="157"/>
      <c r="B13" s="169"/>
      <c r="C13" s="166"/>
      <c r="D13" s="154"/>
      <c r="E13" s="151"/>
      <c r="F13" s="151"/>
      <c r="G13" s="187"/>
      <c r="H13" s="220"/>
      <c r="I13" s="106" t="s">
        <v>37</v>
      </c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234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7">
        <f>SUM(J13:BZ13)</f>
        <v>0</v>
      </c>
      <c r="CB13" s="171"/>
      <c r="CC13" s="90"/>
    </row>
    <row r="14" spans="1:81" ht="11.25" customHeight="1" x14ac:dyDescent="0.25">
      <c r="A14" s="158"/>
      <c r="B14" s="170"/>
      <c r="C14" s="167"/>
      <c r="D14" s="155"/>
      <c r="E14" s="152"/>
      <c r="F14" s="152"/>
      <c r="G14" s="187"/>
      <c r="H14" s="220"/>
      <c r="I14" s="106" t="s">
        <v>38</v>
      </c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9"/>
      <c r="AB14" s="69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234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7">
        <f>SUM(J14:BZ14)</f>
        <v>0</v>
      </c>
      <c r="CB14" s="171"/>
      <c r="CC14" s="90"/>
    </row>
    <row r="15" spans="1:81" ht="16.5" customHeight="1" x14ac:dyDescent="0.25">
      <c r="A15" s="156">
        <v>4</v>
      </c>
      <c r="B15" s="168" t="s">
        <v>52</v>
      </c>
      <c r="C15" s="205">
        <v>7</v>
      </c>
      <c r="D15" s="204">
        <v>175</v>
      </c>
      <c r="E15" s="204">
        <v>175</v>
      </c>
      <c r="F15" s="204">
        <v>175</v>
      </c>
      <c r="G15" s="184"/>
      <c r="H15" s="215"/>
      <c r="I15" s="106" t="s">
        <v>36</v>
      </c>
      <c r="J15" s="65">
        <v>4</v>
      </c>
      <c r="K15" s="65">
        <v>4</v>
      </c>
      <c r="L15" s="65">
        <v>4</v>
      </c>
      <c r="M15" s="65">
        <v>4</v>
      </c>
      <c r="N15" s="65">
        <v>4</v>
      </c>
      <c r="O15" s="65">
        <v>4</v>
      </c>
      <c r="P15" s="65">
        <v>4</v>
      </c>
      <c r="Q15" s="65">
        <v>4</v>
      </c>
      <c r="R15" s="65">
        <v>4</v>
      </c>
      <c r="S15" s="65">
        <v>4</v>
      </c>
      <c r="T15" s="65">
        <v>4</v>
      </c>
      <c r="U15" s="65">
        <v>4</v>
      </c>
      <c r="V15" s="65">
        <v>4</v>
      </c>
      <c r="W15" s="65">
        <v>3</v>
      </c>
      <c r="X15" s="65">
        <v>3</v>
      </c>
      <c r="Y15" s="65">
        <v>3</v>
      </c>
      <c r="Z15" s="65">
        <v>3</v>
      </c>
      <c r="AA15" s="65">
        <v>3</v>
      </c>
      <c r="AB15" s="65">
        <v>3</v>
      </c>
      <c r="AC15" s="65">
        <v>3</v>
      </c>
      <c r="AD15" s="65">
        <v>3</v>
      </c>
      <c r="AE15" s="65">
        <v>3</v>
      </c>
      <c r="AF15" s="65">
        <v>3</v>
      </c>
      <c r="AG15" s="65">
        <v>3</v>
      </c>
      <c r="AH15" s="65">
        <v>3</v>
      </c>
      <c r="AI15" s="65">
        <v>3</v>
      </c>
      <c r="AJ15" s="65">
        <v>3</v>
      </c>
      <c r="AK15" s="65">
        <v>3</v>
      </c>
      <c r="AL15" s="65">
        <v>3</v>
      </c>
      <c r="AM15" s="65">
        <v>3</v>
      </c>
      <c r="AN15" s="65">
        <v>3</v>
      </c>
      <c r="AO15" s="65">
        <v>3</v>
      </c>
      <c r="AP15" s="65">
        <v>3</v>
      </c>
      <c r="AQ15" s="65">
        <v>3</v>
      </c>
      <c r="AR15" s="65">
        <v>3</v>
      </c>
      <c r="AS15" s="65">
        <v>3</v>
      </c>
      <c r="AT15" s="234"/>
      <c r="AU15" s="65">
        <v>3</v>
      </c>
      <c r="AV15" s="65">
        <v>3</v>
      </c>
      <c r="AW15" s="65">
        <v>3</v>
      </c>
      <c r="AX15" s="65">
        <v>3</v>
      </c>
      <c r="AY15" s="65">
        <v>3</v>
      </c>
      <c r="AZ15" s="65">
        <v>3</v>
      </c>
      <c r="BA15" s="65">
        <v>3</v>
      </c>
      <c r="BB15" s="65">
        <v>3</v>
      </c>
      <c r="BC15" s="65">
        <v>2</v>
      </c>
      <c r="BD15" s="65">
        <v>2</v>
      </c>
      <c r="BE15" s="65">
        <v>2</v>
      </c>
      <c r="BF15" s="65">
        <v>2</v>
      </c>
      <c r="BG15" s="65">
        <v>2</v>
      </c>
      <c r="BH15" s="65">
        <v>2</v>
      </c>
      <c r="BI15" s="65">
        <v>2</v>
      </c>
      <c r="BJ15" s="65">
        <v>2</v>
      </c>
      <c r="BK15" s="65">
        <v>2</v>
      </c>
      <c r="BL15" s="65">
        <v>2</v>
      </c>
      <c r="BM15" s="65">
        <v>2</v>
      </c>
      <c r="BN15" s="65">
        <v>2</v>
      </c>
      <c r="BO15" s="65">
        <v>2</v>
      </c>
      <c r="BP15" s="65">
        <v>2</v>
      </c>
      <c r="BQ15" s="65">
        <v>2</v>
      </c>
      <c r="BR15" s="65"/>
      <c r="BS15" s="65"/>
      <c r="BT15" s="65"/>
      <c r="BU15" s="65"/>
      <c r="BV15" s="65"/>
      <c r="BW15" s="65"/>
      <c r="BX15" s="65"/>
      <c r="BY15" s="65"/>
      <c r="BZ15" s="65"/>
      <c r="CA15" s="67">
        <f>SUM(J15:BZ15)</f>
        <v>175</v>
      </c>
      <c r="CB15" s="171" t="s">
        <v>24</v>
      </c>
      <c r="CC15" s="90"/>
    </row>
    <row r="16" spans="1:81" ht="18.75" customHeight="1" x14ac:dyDescent="0.25">
      <c r="A16" s="157"/>
      <c r="B16" s="169"/>
      <c r="C16" s="205"/>
      <c r="D16" s="204"/>
      <c r="E16" s="204"/>
      <c r="F16" s="204"/>
      <c r="G16" s="184"/>
      <c r="H16" s="215"/>
      <c r="I16" s="106" t="s">
        <v>37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6"/>
      <c r="X16" s="66"/>
      <c r="Y16" s="66"/>
      <c r="Z16" s="66"/>
      <c r="AA16" s="66"/>
      <c r="AB16" s="66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234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7">
        <f>SUM(J16:BZ16)</f>
        <v>0</v>
      </c>
      <c r="CB16" s="171"/>
      <c r="CC16" s="90"/>
    </row>
    <row r="17" spans="1:81" ht="11.25" customHeight="1" x14ac:dyDescent="0.25">
      <c r="A17" s="158"/>
      <c r="B17" s="170"/>
      <c r="C17" s="205"/>
      <c r="D17" s="204"/>
      <c r="E17" s="204"/>
      <c r="F17" s="204"/>
      <c r="G17" s="184"/>
      <c r="H17" s="215"/>
      <c r="I17" s="106" t="s">
        <v>38</v>
      </c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70"/>
      <c r="X17" s="70"/>
      <c r="Y17" s="70"/>
      <c r="Z17" s="70"/>
      <c r="AA17" s="70"/>
      <c r="AB17" s="70"/>
      <c r="AC17" s="68"/>
      <c r="AD17" s="68"/>
      <c r="AE17" s="68"/>
      <c r="AF17" s="68"/>
      <c r="AG17" s="69"/>
      <c r="AH17" s="69"/>
      <c r="AI17" s="68"/>
      <c r="AJ17" s="68"/>
      <c r="AK17" s="68"/>
      <c r="AL17" s="68"/>
      <c r="AM17" s="71"/>
      <c r="AN17" s="71"/>
      <c r="AO17" s="71"/>
      <c r="AP17" s="71"/>
      <c r="AQ17" s="71"/>
      <c r="AR17" s="71"/>
      <c r="AS17" s="71"/>
      <c r="AT17" s="234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7"/>
      <c r="CB17" s="171"/>
      <c r="CC17" s="90"/>
    </row>
    <row r="18" spans="1:81" ht="15" customHeight="1" x14ac:dyDescent="0.25">
      <c r="A18" s="156">
        <v>5</v>
      </c>
      <c r="B18" s="224" t="s">
        <v>53</v>
      </c>
      <c r="C18" s="159">
        <v>6</v>
      </c>
      <c r="D18" s="186">
        <v>150</v>
      </c>
      <c r="E18" s="186">
        <v>150</v>
      </c>
      <c r="F18" s="186">
        <v>150</v>
      </c>
      <c r="G18" s="201"/>
      <c r="H18" s="201"/>
      <c r="I18" s="106" t="s">
        <v>36</v>
      </c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>
        <v>1</v>
      </c>
      <c r="W18" s="97">
        <v>3</v>
      </c>
      <c r="X18" s="97">
        <v>3</v>
      </c>
      <c r="Y18" s="97">
        <v>3</v>
      </c>
      <c r="Z18" s="97">
        <v>3</v>
      </c>
      <c r="AA18" s="97">
        <v>3</v>
      </c>
      <c r="AB18" s="97">
        <v>3</v>
      </c>
      <c r="AC18" s="97">
        <v>3</v>
      </c>
      <c r="AD18" s="97">
        <v>3</v>
      </c>
      <c r="AE18" s="97">
        <v>3</v>
      </c>
      <c r="AF18" s="97">
        <v>3</v>
      </c>
      <c r="AG18" s="97">
        <v>3</v>
      </c>
      <c r="AH18" s="97">
        <v>3</v>
      </c>
      <c r="AI18" s="97">
        <v>4</v>
      </c>
      <c r="AJ18" s="97">
        <v>4</v>
      </c>
      <c r="AK18" s="97">
        <v>4</v>
      </c>
      <c r="AL18" s="97">
        <v>4</v>
      </c>
      <c r="AM18" s="97">
        <v>4</v>
      </c>
      <c r="AN18" s="97">
        <v>4</v>
      </c>
      <c r="AO18" s="97">
        <v>4</v>
      </c>
      <c r="AP18" s="97">
        <v>4</v>
      </c>
      <c r="AQ18" s="97">
        <v>4</v>
      </c>
      <c r="AR18" s="97">
        <v>4</v>
      </c>
      <c r="AS18" s="97">
        <v>4</v>
      </c>
      <c r="AT18" s="234"/>
      <c r="AU18" s="97">
        <v>3</v>
      </c>
      <c r="AV18" s="97">
        <v>3</v>
      </c>
      <c r="AW18" s="97">
        <v>3</v>
      </c>
      <c r="AX18" s="97">
        <v>3</v>
      </c>
      <c r="AY18" s="97">
        <v>3</v>
      </c>
      <c r="AZ18" s="97">
        <v>3</v>
      </c>
      <c r="BA18" s="97">
        <v>3</v>
      </c>
      <c r="BB18" s="97">
        <v>3</v>
      </c>
      <c r="BC18" s="97">
        <v>3</v>
      </c>
      <c r="BD18" s="97">
        <v>3</v>
      </c>
      <c r="BE18" s="97">
        <v>3</v>
      </c>
      <c r="BF18" s="97">
        <v>3</v>
      </c>
      <c r="BG18" s="97">
        <v>3</v>
      </c>
      <c r="BH18" s="97">
        <v>3</v>
      </c>
      <c r="BI18" s="97">
        <v>3</v>
      </c>
      <c r="BJ18" s="97">
        <v>3</v>
      </c>
      <c r="BK18" s="97">
        <v>3</v>
      </c>
      <c r="BL18" s="97">
        <v>3</v>
      </c>
      <c r="BM18" s="97">
        <v>3</v>
      </c>
      <c r="BN18" s="97">
        <v>3</v>
      </c>
      <c r="BO18" s="97">
        <v>3</v>
      </c>
      <c r="BP18" s="97">
        <v>3</v>
      </c>
      <c r="BQ18" s="97">
        <v>3</v>
      </c>
      <c r="BR18" s="97"/>
      <c r="BS18" s="97"/>
      <c r="BT18" s="97"/>
      <c r="BU18" s="97"/>
      <c r="BV18" s="97"/>
      <c r="BW18" s="97"/>
      <c r="BX18" s="97"/>
      <c r="BY18" s="97"/>
      <c r="BZ18" s="97"/>
      <c r="CA18" s="67">
        <f>SUM(J18:BZ18)</f>
        <v>150</v>
      </c>
      <c r="CB18" s="126"/>
      <c r="CC18" s="90"/>
    </row>
    <row r="19" spans="1:81" ht="16.5" customHeight="1" x14ac:dyDescent="0.25">
      <c r="A19" s="157"/>
      <c r="B19" s="225"/>
      <c r="C19" s="160"/>
      <c r="D19" s="187"/>
      <c r="E19" s="187"/>
      <c r="F19" s="187"/>
      <c r="G19" s="202"/>
      <c r="H19" s="202"/>
      <c r="I19" s="106" t="s">
        <v>37</v>
      </c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136"/>
      <c r="X19" s="136"/>
      <c r="Y19" s="136"/>
      <c r="Z19" s="136"/>
      <c r="AA19" s="136"/>
      <c r="AB19" s="136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234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7"/>
      <c r="BG19" s="97"/>
      <c r="BH19" s="97"/>
      <c r="BI19" s="97"/>
      <c r="BJ19" s="97"/>
      <c r="BK19" s="97"/>
      <c r="BL19" s="97"/>
      <c r="BM19" s="97"/>
      <c r="BN19" s="97"/>
      <c r="BO19" s="97"/>
      <c r="BP19" s="97"/>
      <c r="BQ19" s="97"/>
      <c r="BR19" s="97"/>
      <c r="BS19" s="97"/>
      <c r="BT19" s="97"/>
      <c r="BU19" s="97"/>
      <c r="BV19" s="97"/>
      <c r="BW19" s="97"/>
      <c r="BX19" s="97"/>
      <c r="BY19" s="97"/>
      <c r="BZ19" s="97"/>
      <c r="CA19" s="67">
        <f>SUM(AG19:BZ19)</f>
        <v>0</v>
      </c>
      <c r="CB19" s="126"/>
      <c r="CC19" s="90"/>
    </row>
    <row r="20" spans="1:81" ht="15.75" customHeight="1" x14ac:dyDescent="0.25">
      <c r="A20" s="158"/>
      <c r="B20" s="226"/>
      <c r="C20" s="161"/>
      <c r="D20" s="188"/>
      <c r="E20" s="188"/>
      <c r="F20" s="188"/>
      <c r="G20" s="203"/>
      <c r="H20" s="203"/>
      <c r="I20" s="106" t="s">
        <v>38</v>
      </c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70"/>
      <c r="X20" s="70"/>
      <c r="Y20" s="70"/>
      <c r="Z20" s="70"/>
      <c r="AA20" s="70"/>
      <c r="AB20" s="70"/>
      <c r="AC20" s="68"/>
      <c r="AD20" s="68"/>
      <c r="AE20" s="68"/>
      <c r="AF20" s="68"/>
      <c r="AG20" s="69"/>
      <c r="AH20" s="69"/>
      <c r="AI20" s="68"/>
      <c r="AJ20" s="68"/>
      <c r="AK20" s="68"/>
      <c r="AL20" s="68"/>
      <c r="AM20" s="71"/>
      <c r="AN20" s="71"/>
      <c r="AO20" s="71"/>
      <c r="AP20" s="71"/>
      <c r="AQ20" s="71"/>
      <c r="AR20" s="71"/>
      <c r="AS20" s="71"/>
      <c r="AT20" s="234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7"/>
      <c r="CB20" s="126"/>
      <c r="CC20" s="90"/>
    </row>
    <row r="21" spans="1:81" ht="15.75" customHeight="1" x14ac:dyDescent="0.25">
      <c r="A21" s="156">
        <v>6</v>
      </c>
      <c r="B21" s="168" t="s">
        <v>54</v>
      </c>
      <c r="C21" s="159">
        <v>6</v>
      </c>
      <c r="D21" s="186">
        <v>150</v>
      </c>
      <c r="E21" s="186">
        <v>150</v>
      </c>
      <c r="F21" s="186">
        <v>150</v>
      </c>
      <c r="G21" s="201"/>
      <c r="H21" s="201"/>
      <c r="I21" s="106" t="s">
        <v>36</v>
      </c>
      <c r="J21" s="65">
        <v>4</v>
      </c>
      <c r="K21" s="65">
        <v>4</v>
      </c>
      <c r="L21" s="65">
        <v>4</v>
      </c>
      <c r="M21" s="65">
        <v>4</v>
      </c>
      <c r="N21" s="65">
        <v>4</v>
      </c>
      <c r="O21" s="65">
        <v>4</v>
      </c>
      <c r="P21" s="65">
        <v>4</v>
      </c>
      <c r="Q21" s="65">
        <v>4</v>
      </c>
      <c r="R21" s="65">
        <v>4</v>
      </c>
      <c r="S21" s="65">
        <v>4</v>
      </c>
      <c r="T21" s="65">
        <v>4</v>
      </c>
      <c r="U21" s="65">
        <v>4</v>
      </c>
      <c r="V21" s="65">
        <v>1</v>
      </c>
      <c r="W21" s="65">
        <v>3</v>
      </c>
      <c r="X21" s="65">
        <v>3</v>
      </c>
      <c r="Y21" s="65">
        <v>3</v>
      </c>
      <c r="Z21" s="65">
        <v>3</v>
      </c>
      <c r="AA21" s="65">
        <v>3</v>
      </c>
      <c r="AB21" s="65">
        <v>3</v>
      </c>
      <c r="AC21" s="65">
        <v>3</v>
      </c>
      <c r="AD21" s="65">
        <v>3</v>
      </c>
      <c r="AE21" s="65">
        <v>3</v>
      </c>
      <c r="AF21" s="65">
        <v>3</v>
      </c>
      <c r="AG21" s="65">
        <v>1</v>
      </c>
      <c r="AH21" s="65">
        <v>2</v>
      </c>
      <c r="AI21" s="65">
        <v>2</v>
      </c>
      <c r="AJ21" s="65">
        <v>2</v>
      </c>
      <c r="AK21" s="65">
        <v>2</v>
      </c>
      <c r="AL21" s="65">
        <v>2</v>
      </c>
      <c r="AM21" s="65">
        <v>2</v>
      </c>
      <c r="AN21" s="65">
        <v>2</v>
      </c>
      <c r="AO21" s="65">
        <v>2</v>
      </c>
      <c r="AP21" s="65">
        <v>2</v>
      </c>
      <c r="AQ21" s="65">
        <v>2</v>
      </c>
      <c r="AR21" s="65">
        <v>2</v>
      </c>
      <c r="AS21" s="65">
        <v>2</v>
      </c>
      <c r="AT21" s="234"/>
      <c r="AU21" s="65">
        <v>2</v>
      </c>
      <c r="AV21" s="65">
        <v>2</v>
      </c>
      <c r="AW21" s="65">
        <v>2</v>
      </c>
      <c r="AX21" s="65">
        <v>2</v>
      </c>
      <c r="AY21" s="65">
        <v>2</v>
      </c>
      <c r="AZ21" s="65">
        <v>2</v>
      </c>
      <c r="BA21" s="65">
        <v>2</v>
      </c>
      <c r="BB21" s="65">
        <v>2</v>
      </c>
      <c r="BC21" s="65">
        <v>2</v>
      </c>
      <c r="BD21" s="65">
        <v>2</v>
      </c>
      <c r="BE21" s="65">
        <v>2</v>
      </c>
      <c r="BF21" s="65">
        <v>2</v>
      </c>
      <c r="BG21" s="65">
        <v>2</v>
      </c>
      <c r="BH21" s="65">
        <v>2</v>
      </c>
      <c r="BI21" s="65">
        <v>2</v>
      </c>
      <c r="BJ21" s="65">
        <v>2</v>
      </c>
      <c r="BK21" s="65">
        <v>2</v>
      </c>
      <c r="BL21" s="65">
        <v>2</v>
      </c>
      <c r="BM21" s="65">
        <v>2</v>
      </c>
      <c r="BN21" s="65">
        <v>2</v>
      </c>
      <c r="BO21" s="65">
        <v>2</v>
      </c>
      <c r="BP21" s="65">
        <v>2</v>
      </c>
      <c r="BQ21" s="65">
        <v>2</v>
      </c>
      <c r="BR21" s="65"/>
      <c r="BS21" s="65"/>
      <c r="BT21" s="65"/>
      <c r="BU21" s="65"/>
      <c r="BV21" s="65"/>
      <c r="BW21" s="65"/>
      <c r="BX21" s="65"/>
      <c r="BY21" s="65"/>
      <c r="BZ21" s="65"/>
      <c r="CA21" s="67">
        <f>SUM(J21:BZ21)</f>
        <v>150</v>
      </c>
      <c r="CB21" s="126"/>
      <c r="CC21" s="90"/>
    </row>
    <row r="22" spans="1:81" ht="15.75" customHeight="1" x14ac:dyDescent="0.25">
      <c r="A22" s="157"/>
      <c r="B22" s="169"/>
      <c r="C22" s="160"/>
      <c r="D22" s="187"/>
      <c r="E22" s="187"/>
      <c r="F22" s="187"/>
      <c r="G22" s="202"/>
      <c r="H22" s="202"/>
      <c r="I22" s="106" t="s">
        <v>37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6"/>
      <c r="X22" s="66"/>
      <c r="Y22" s="66"/>
      <c r="Z22" s="66"/>
      <c r="AA22" s="66"/>
      <c r="AB22" s="66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234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7"/>
      <c r="CB22" s="126"/>
      <c r="CC22" s="90"/>
    </row>
    <row r="23" spans="1:81" ht="15.75" customHeight="1" x14ac:dyDescent="0.25">
      <c r="A23" s="158"/>
      <c r="B23" s="170"/>
      <c r="C23" s="161"/>
      <c r="D23" s="188"/>
      <c r="E23" s="188"/>
      <c r="F23" s="188"/>
      <c r="G23" s="203"/>
      <c r="H23" s="203"/>
      <c r="I23" s="106" t="s">
        <v>38</v>
      </c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70"/>
      <c r="X23" s="70"/>
      <c r="Y23" s="70"/>
      <c r="Z23" s="70"/>
      <c r="AA23" s="70"/>
      <c r="AB23" s="70"/>
      <c r="AC23" s="68"/>
      <c r="AD23" s="68"/>
      <c r="AE23" s="68"/>
      <c r="AF23" s="68"/>
      <c r="AG23" s="69"/>
      <c r="AH23" s="69"/>
      <c r="AI23" s="68"/>
      <c r="AJ23" s="68"/>
      <c r="AK23" s="68"/>
      <c r="AL23" s="68"/>
      <c r="AM23" s="71"/>
      <c r="AN23" s="71"/>
      <c r="AO23" s="71"/>
      <c r="AP23" s="71"/>
      <c r="AQ23" s="71"/>
      <c r="AR23" s="71"/>
      <c r="AS23" s="71"/>
      <c r="AT23" s="234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7"/>
      <c r="CB23" s="126"/>
      <c r="CC23" s="90"/>
    </row>
    <row r="24" spans="1:81" ht="15" customHeight="1" x14ac:dyDescent="0.25">
      <c r="A24" s="156">
        <v>7</v>
      </c>
      <c r="B24" s="168" t="s">
        <v>55</v>
      </c>
      <c r="C24" s="159">
        <v>1</v>
      </c>
      <c r="D24" s="186">
        <v>25</v>
      </c>
      <c r="E24" s="186">
        <v>25</v>
      </c>
      <c r="F24" s="186">
        <v>25</v>
      </c>
      <c r="G24" s="201"/>
      <c r="H24" s="201"/>
      <c r="I24" s="106" t="s">
        <v>36</v>
      </c>
      <c r="J24" s="65">
        <v>1</v>
      </c>
      <c r="K24" s="65">
        <v>1</v>
      </c>
      <c r="L24" s="65">
        <v>1</v>
      </c>
      <c r="M24" s="65">
        <v>1</v>
      </c>
      <c r="N24" s="65">
        <v>1</v>
      </c>
      <c r="O24" s="65">
        <v>1</v>
      </c>
      <c r="P24" s="65">
        <v>1</v>
      </c>
      <c r="Q24" s="65">
        <v>1</v>
      </c>
      <c r="R24" s="65">
        <v>1</v>
      </c>
      <c r="S24" s="65">
        <v>1</v>
      </c>
      <c r="T24" s="65">
        <v>1</v>
      </c>
      <c r="U24" s="65">
        <v>1</v>
      </c>
      <c r="V24" s="65">
        <v>1</v>
      </c>
      <c r="W24" s="65">
        <v>1</v>
      </c>
      <c r="X24" s="65">
        <v>1</v>
      </c>
      <c r="Y24" s="65">
        <v>1</v>
      </c>
      <c r="Z24" s="65">
        <v>1</v>
      </c>
      <c r="AA24" s="65">
        <v>1</v>
      </c>
      <c r="AB24" s="65">
        <v>1</v>
      </c>
      <c r="AC24" s="65">
        <v>1</v>
      </c>
      <c r="AD24" s="65">
        <v>1</v>
      </c>
      <c r="AE24" s="65">
        <v>1</v>
      </c>
      <c r="AF24" s="65">
        <v>1</v>
      </c>
      <c r="AG24" s="65">
        <v>2</v>
      </c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234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7">
        <f>SUM(J24:BZ24)</f>
        <v>25</v>
      </c>
      <c r="CB24" s="126"/>
      <c r="CC24" s="90"/>
    </row>
    <row r="25" spans="1:81" ht="15.75" customHeight="1" x14ac:dyDescent="0.25">
      <c r="A25" s="157"/>
      <c r="B25" s="169"/>
      <c r="C25" s="160"/>
      <c r="D25" s="187"/>
      <c r="E25" s="187"/>
      <c r="F25" s="187"/>
      <c r="G25" s="202"/>
      <c r="H25" s="202"/>
      <c r="I25" s="106" t="s">
        <v>37</v>
      </c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6"/>
      <c r="X25" s="66"/>
      <c r="Y25" s="66"/>
      <c r="Z25" s="66"/>
      <c r="AA25" s="66"/>
      <c r="AB25" s="66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234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7"/>
      <c r="CB25" s="126"/>
      <c r="CC25" s="90"/>
    </row>
    <row r="26" spans="1:81" ht="17.25" customHeight="1" x14ac:dyDescent="0.25">
      <c r="A26" s="158"/>
      <c r="B26" s="170"/>
      <c r="C26" s="161"/>
      <c r="D26" s="188"/>
      <c r="E26" s="188"/>
      <c r="F26" s="188"/>
      <c r="G26" s="203"/>
      <c r="H26" s="203"/>
      <c r="I26" s="106" t="s">
        <v>38</v>
      </c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70"/>
      <c r="X26" s="70"/>
      <c r="Y26" s="70"/>
      <c r="Z26" s="70"/>
      <c r="AA26" s="70"/>
      <c r="AB26" s="70"/>
      <c r="AC26" s="68"/>
      <c r="AD26" s="68"/>
      <c r="AE26" s="68"/>
      <c r="AF26" s="68"/>
      <c r="AG26" s="69"/>
      <c r="AH26" s="69"/>
      <c r="AI26" s="68"/>
      <c r="AJ26" s="68"/>
      <c r="AK26" s="68"/>
      <c r="AL26" s="68"/>
      <c r="AM26" s="71"/>
      <c r="AN26" s="71"/>
      <c r="AO26" s="71"/>
      <c r="AP26" s="71"/>
      <c r="AQ26" s="71"/>
      <c r="AR26" s="71"/>
      <c r="AS26" s="71"/>
      <c r="AT26" s="234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68"/>
      <c r="BY26" s="68"/>
      <c r="BZ26" s="68"/>
      <c r="CA26" s="67"/>
      <c r="CB26" s="126"/>
      <c r="CC26" s="90"/>
    </row>
    <row r="27" spans="1:81" ht="15" customHeight="1" x14ac:dyDescent="0.25">
      <c r="A27" s="156">
        <v>8</v>
      </c>
      <c r="B27" s="147" t="s">
        <v>56</v>
      </c>
      <c r="C27" s="165">
        <v>2</v>
      </c>
      <c r="D27" s="150">
        <v>50</v>
      </c>
      <c r="E27" s="150">
        <v>50</v>
      </c>
      <c r="F27" s="150">
        <v>50</v>
      </c>
      <c r="G27" s="201"/>
      <c r="H27" s="212"/>
      <c r="I27" s="106" t="s">
        <v>36</v>
      </c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>
        <v>2</v>
      </c>
      <c r="AH27" s="97">
        <v>2</v>
      </c>
      <c r="AI27" s="97">
        <v>2</v>
      </c>
      <c r="AJ27" s="97">
        <v>2</v>
      </c>
      <c r="AK27" s="97">
        <v>2</v>
      </c>
      <c r="AL27" s="97">
        <v>2</v>
      </c>
      <c r="AM27" s="97">
        <v>2</v>
      </c>
      <c r="AN27" s="97">
        <v>2</v>
      </c>
      <c r="AO27" s="97">
        <v>2</v>
      </c>
      <c r="AP27" s="97">
        <v>2</v>
      </c>
      <c r="AQ27" s="97">
        <v>2</v>
      </c>
      <c r="AR27" s="97">
        <v>2</v>
      </c>
      <c r="AS27" s="97">
        <v>2</v>
      </c>
      <c r="AT27" s="234"/>
      <c r="AU27" s="97">
        <v>2</v>
      </c>
      <c r="AV27" s="97">
        <v>2</v>
      </c>
      <c r="AW27" s="97">
        <v>2</v>
      </c>
      <c r="AX27" s="97">
        <v>2</v>
      </c>
      <c r="AY27" s="97">
        <v>2</v>
      </c>
      <c r="AZ27" s="97">
        <v>2</v>
      </c>
      <c r="BA27" s="97">
        <v>2</v>
      </c>
      <c r="BB27" s="97">
        <v>2</v>
      </c>
      <c r="BC27" s="97">
        <v>2</v>
      </c>
      <c r="BD27" s="97">
        <v>2</v>
      </c>
      <c r="BE27" s="97">
        <v>2</v>
      </c>
      <c r="BF27" s="97">
        <v>2</v>
      </c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7"/>
      <c r="BS27" s="97"/>
      <c r="BT27" s="97"/>
      <c r="BU27" s="97"/>
      <c r="BV27" s="97"/>
      <c r="BW27" s="97"/>
      <c r="BX27" s="97"/>
      <c r="BY27" s="97"/>
      <c r="BZ27" s="97"/>
      <c r="CA27" s="67">
        <f>SUM(J27:BZ27)</f>
        <v>50</v>
      </c>
      <c r="CB27" s="171" t="s">
        <v>32</v>
      </c>
      <c r="CC27" s="90"/>
    </row>
    <row r="28" spans="1:81" ht="17.25" customHeight="1" x14ac:dyDescent="0.25">
      <c r="A28" s="157"/>
      <c r="B28" s="148"/>
      <c r="C28" s="166"/>
      <c r="D28" s="151"/>
      <c r="E28" s="151"/>
      <c r="F28" s="151"/>
      <c r="G28" s="202"/>
      <c r="H28" s="213"/>
      <c r="I28" s="106" t="s">
        <v>37</v>
      </c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234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97"/>
      <c r="BX28" s="97"/>
      <c r="BY28" s="97"/>
      <c r="BZ28" s="97"/>
      <c r="CA28" s="67">
        <f>SUM(J28:BZ28)</f>
        <v>0</v>
      </c>
      <c r="CB28" s="171"/>
      <c r="CC28" s="90"/>
    </row>
    <row r="29" spans="1:81" ht="11.25" customHeight="1" x14ac:dyDescent="0.25">
      <c r="A29" s="158"/>
      <c r="B29" s="149"/>
      <c r="C29" s="167"/>
      <c r="D29" s="152"/>
      <c r="E29" s="152"/>
      <c r="F29" s="152"/>
      <c r="G29" s="203"/>
      <c r="H29" s="214"/>
      <c r="I29" s="106" t="s">
        <v>38</v>
      </c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71"/>
      <c r="AG29" s="71"/>
      <c r="AH29" s="71"/>
      <c r="AI29" s="71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234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69"/>
      <c r="BQ29" s="69"/>
      <c r="BR29" s="69"/>
      <c r="BS29" s="69"/>
      <c r="BT29" s="69"/>
      <c r="BU29" s="69"/>
      <c r="BV29" s="69"/>
      <c r="BW29" s="69"/>
      <c r="BX29" s="68"/>
      <c r="BY29" s="68"/>
      <c r="BZ29" s="68"/>
      <c r="CA29" s="67">
        <f>SUM(J29:BZ29)</f>
        <v>0</v>
      </c>
      <c r="CB29" s="171"/>
      <c r="CC29" s="90"/>
    </row>
    <row r="30" spans="1:81" ht="15.75" customHeight="1" x14ac:dyDescent="0.25">
      <c r="A30" s="72"/>
      <c r="B30" s="119" t="s">
        <v>13</v>
      </c>
      <c r="C30" s="73"/>
      <c r="D30" s="73"/>
      <c r="E30" s="74"/>
      <c r="F30" s="111"/>
      <c r="G30" s="111"/>
      <c r="H30" s="104"/>
      <c r="I30" s="100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234"/>
      <c r="AU30" s="61"/>
      <c r="AV30" s="68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7"/>
      <c r="CB30" s="94"/>
      <c r="CC30" s="90"/>
    </row>
    <row r="31" spans="1:81" ht="17.25" customHeight="1" x14ac:dyDescent="0.25">
      <c r="A31" s="156">
        <v>9</v>
      </c>
      <c r="B31" s="189" t="s">
        <v>41</v>
      </c>
      <c r="C31" s="165">
        <v>7</v>
      </c>
      <c r="D31" s="150">
        <v>150</v>
      </c>
      <c r="E31" s="227">
        <v>175</v>
      </c>
      <c r="F31" s="186">
        <v>140</v>
      </c>
      <c r="G31" s="186">
        <v>25</v>
      </c>
      <c r="H31" s="192">
        <v>10</v>
      </c>
      <c r="I31" s="106" t="s">
        <v>36</v>
      </c>
      <c r="J31" s="65">
        <v>13</v>
      </c>
      <c r="K31" s="65">
        <v>13</v>
      </c>
      <c r="L31" s="65">
        <v>13</v>
      </c>
      <c r="M31" s="65">
        <v>13</v>
      </c>
      <c r="N31" s="65">
        <v>13</v>
      </c>
      <c r="O31" s="65">
        <v>13</v>
      </c>
      <c r="P31" s="65">
        <v>13</v>
      </c>
      <c r="Q31" s="65">
        <v>13</v>
      </c>
      <c r="R31" s="65">
        <v>13</v>
      </c>
      <c r="S31" s="65">
        <v>13</v>
      </c>
      <c r="T31" s="143">
        <v>10</v>
      </c>
      <c r="U31" s="143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234"/>
      <c r="AU31" s="66"/>
      <c r="AV31" s="65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7">
        <f>SUM(J31:BZ31)</f>
        <v>140</v>
      </c>
      <c r="CB31" s="171" t="s">
        <v>33</v>
      </c>
      <c r="CC31" s="90"/>
    </row>
    <row r="32" spans="1:81" ht="15" customHeight="1" x14ac:dyDescent="0.25">
      <c r="A32" s="157"/>
      <c r="B32" s="190"/>
      <c r="C32" s="166"/>
      <c r="D32" s="151"/>
      <c r="E32" s="227"/>
      <c r="F32" s="187"/>
      <c r="G32" s="187"/>
      <c r="H32" s="193"/>
      <c r="I32" s="106" t="s">
        <v>37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144">
        <v>3</v>
      </c>
      <c r="U32" s="144">
        <v>7</v>
      </c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234"/>
      <c r="AU32" s="66"/>
      <c r="AV32" s="65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7">
        <f>SUM(J32:BZ32)</f>
        <v>10</v>
      </c>
      <c r="CB32" s="171"/>
      <c r="CC32" s="90"/>
    </row>
    <row r="33" spans="1:81" ht="13.5" customHeight="1" x14ac:dyDescent="0.25">
      <c r="A33" s="158"/>
      <c r="B33" s="191"/>
      <c r="C33" s="167"/>
      <c r="D33" s="152"/>
      <c r="E33" s="227"/>
      <c r="F33" s="188"/>
      <c r="G33" s="188"/>
      <c r="H33" s="194"/>
      <c r="I33" s="106" t="s">
        <v>38</v>
      </c>
      <c r="J33" s="68">
        <v>2</v>
      </c>
      <c r="K33" s="68">
        <v>4</v>
      </c>
      <c r="L33" s="68">
        <v>2</v>
      </c>
      <c r="M33" s="68">
        <v>2</v>
      </c>
      <c r="N33" s="68">
        <v>2</v>
      </c>
      <c r="O33" s="68">
        <v>2</v>
      </c>
      <c r="P33" s="68">
        <v>2.5</v>
      </c>
      <c r="Q33" s="68">
        <v>3</v>
      </c>
      <c r="R33" s="68">
        <v>3</v>
      </c>
      <c r="S33" s="68">
        <v>1.5</v>
      </c>
      <c r="T33" s="68">
        <v>1</v>
      </c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234"/>
      <c r="AU33" s="61"/>
      <c r="AV33" s="68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7">
        <f>SUM(J33:BB33)</f>
        <v>25</v>
      </c>
      <c r="CB33" s="171"/>
      <c r="CC33" s="90"/>
    </row>
    <row r="34" spans="1:81" ht="18.75" customHeight="1" x14ac:dyDescent="0.25">
      <c r="A34" s="156">
        <v>10</v>
      </c>
      <c r="B34" s="206" t="s">
        <v>42</v>
      </c>
      <c r="C34" s="165">
        <v>4</v>
      </c>
      <c r="D34" s="150">
        <v>88</v>
      </c>
      <c r="E34" s="227">
        <v>100</v>
      </c>
      <c r="F34" s="186">
        <v>80</v>
      </c>
      <c r="G34" s="186">
        <v>12</v>
      </c>
      <c r="H34" s="192">
        <v>8</v>
      </c>
      <c r="I34" s="106" t="s">
        <v>36</v>
      </c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>
        <v>6</v>
      </c>
      <c r="V34" s="97">
        <v>12</v>
      </c>
      <c r="W34" s="97">
        <v>12</v>
      </c>
      <c r="X34" s="97">
        <v>12</v>
      </c>
      <c r="Y34" s="97">
        <v>8</v>
      </c>
      <c r="Z34" s="97">
        <v>8</v>
      </c>
      <c r="AA34" s="97">
        <v>8</v>
      </c>
      <c r="AB34" s="97">
        <v>8</v>
      </c>
      <c r="AC34" s="143">
        <v>6</v>
      </c>
      <c r="AD34" s="143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234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  <c r="BU34" s="97"/>
      <c r="BV34" s="97"/>
      <c r="BW34" s="97"/>
      <c r="BX34" s="97"/>
      <c r="BY34" s="97"/>
      <c r="BZ34" s="97"/>
      <c r="CA34" s="67">
        <f>SUM(P34:BB34)</f>
        <v>80</v>
      </c>
      <c r="CB34" s="171" t="s">
        <v>25</v>
      </c>
      <c r="CC34" s="90"/>
    </row>
    <row r="35" spans="1:81" ht="18" customHeight="1" x14ac:dyDescent="0.25">
      <c r="A35" s="157"/>
      <c r="B35" s="207"/>
      <c r="C35" s="166"/>
      <c r="D35" s="151"/>
      <c r="E35" s="227"/>
      <c r="F35" s="187"/>
      <c r="G35" s="187"/>
      <c r="H35" s="193"/>
      <c r="I35" s="106" t="s">
        <v>37</v>
      </c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144">
        <v>2</v>
      </c>
      <c r="AD35" s="144">
        <v>6</v>
      </c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234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  <c r="BW35" s="97"/>
      <c r="BX35" s="97"/>
      <c r="BY35" s="97"/>
      <c r="BZ35" s="97"/>
      <c r="CA35" s="67">
        <f>SUM(P35:BB35)</f>
        <v>8</v>
      </c>
      <c r="CB35" s="171"/>
      <c r="CC35" s="90"/>
    </row>
    <row r="36" spans="1:81" x14ac:dyDescent="0.25">
      <c r="A36" s="158"/>
      <c r="B36" s="208"/>
      <c r="C36" s="167"/>
      <c r="D36" s="152"/>
      <c r="E36" s="227"/>
      <c r="F36" s="188"/>
      <c r="G36" s="188"/>
      <c r="H36" s="194"/>
      <c r="I36" s="106" t="s">
        <v>38</v>
      </c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>
        <v>1</v>
      </c>
      <c r="V36" s="68">
        <v>2</v>
      </c>
      <c r="W36" s="68">
        <v>1.5</v>
      </c>
      <c r="X36" s="68">
        <v>1</v>
      </c>
      <c r="Y36" s="68">
        <v>2</v>
      </c>
      <c r="Z36" s="145">
        <v>1</v>
      </c>
      <c r="AA36" s="68">
        <v>2</v>
      </c>
      <c r="AB36" s="68">
        <v>1.5</v>
      </c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9"/>
      <c r="AN36" s="61"/>
      <c r="AO36" s="68"/>
      <c r="AP36" s="68"/>
      <c r="AQ36" s="61"/>
      <c r="AR36" s="61"/>
      <c r="AS36" s="61"/>
      <c r="AT36" s="234"/>
      <c r="AU36" s="61"/>
      <c r="AV36" s="68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7">
        <f>SUM(P36:BB36)</f>
        <v>12</v>
      </c>
      <c r="CB36" s="171"/>
      <c r="CC36" s="90"/>
    </row>
    <row r="37" spans="1:81" ht="19.5" customHeight="1" x14ac:dyDescent="0.25">
      <c r="A37" s="156">
        <v>11</v>
      </c>
      <c r="B37" s="206" t="s">
        <v>43</v>
      </c>
      <c r="C37" s="165">
        <v>9</v>
      </c>
      <c r="D37" s="150">
        <v>193</v>
      </c>
      <c r="E37" s="150">
        <v>225</v>
      </c>
      <c r="F37" s="187">
        <v>180</v>
      </c>
      <c r="G37" s="187">
        <v>32</v>
      </c>
      <c r="H37" s="220">
        <v>13</v>
      </c>
      <c r="I37" s="106" t="s">
        <v>36</v>
      </c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>
        <v>5</v>
      </c>
      <c r="Z37" s="97">
        <v>5</v>
      </c>
      <c r="AA37" s="97">
        <v>5</v>
      </c>
      <c r="AB37" s="97">
        <v>5</v>
      </c>
      <c r="AC37" s="97">
        <v>5</v>
      </c>
      <c r="AD37" s="97">
        <v>5</v>
      </c>
      <c r="AE37" s="97">
        <v>12</v>
      </c>
      <c r="AF37" s="97">
        <v>12</v>
      </c>
      <c r="AG37" s="97">
        <v>12</v>
      </c>
      <c r="AH37" s="97">
        <v>11</v>
      </c>
      <c r="AI37" s="97">
        <v>11</v>
      </c>
      <c r="AJ37" s="97">
        <v>11</v>
      </c>
      <c r="AK37" s="97">
        <v>11</v>
      </c>
      <c r="AL37" s="97">
        <v>11</v>
      </c>
      <c r="AM37" s="97">
        <v>11</v>
      </c>
      <c r="AN37" s="97">
        <v>11</v>
      </c>
      <c r="AO37" s="97">
        <v>11</v>
      </c>
      <c r="AP37" s="97">
        <v>11</v>
      </c>
      <c r="AQ37" s="97">
        <v>11</v>
      </c>
      <c r="AR37" s="143">
        <v>4</v>
      </c>
      <c r="AS37" s="143"/>
      <c r="AT37" s="234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7"/>
      <c r="BT37" s="97"/>
      <c r="BU37" s="97"/>
      <c r="BV37" s="97"/>
      <c r="BW37" s="97"/>
      <c r="BX37" s="97"/>
      <c r="BY37" s="97"/>
      <c r="BZ37" s="97"/>
      <c r="CA37" s="67">
        <f t="shared" ref="CA37:CA58" si="0">SUM(V37:BZ37)</f>
        <v>180</v>
      </c>
      <c r="CB37" s="171" t="s">
        <v>26</v>
      </c>
      <c r="CC37" s="90"/>
    </row>
    <row r="38" spans="1:81" ht="18.75" customHeight="1" x14ac:dyDescent="0.25">
      <c r="A38" s="157"/>
      <c r="B38" s="207"/>
      <c r="C38" s="166"/>
      <c r="D38" s="151"/>
      <c r="E38" s="151"/>
      <c r="F38" s="187"/>
      <c r="G38" s="187"/>
      <c r="H38" s="220"/>
      <c r="I38" s="106" t="s">
        <v>37</v>
      </c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8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144">
        <v>7</v>
      </c>
      <c r="AS38" s="144">
        <v>6</v>
      </c>
      <c r="AT38" s="234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  <c r="CA38" s="67">
        <f t="shared" si="0"/>
        <v>13</v>
      </c>
      <c r="CB38" s="171"/>
      <c r="CC38" s="90"/>
    </row>
    <row r="39" spans="1:81" ht="16.5" customHeight="1" x14ac:dyDescent="0.25">
      <c r="A39" s="158"/>
      <c r="B39" s="208"/>
      <c r="C39" s="167"/>
      <c r="D39" s="152"/>
      <c r="E39" s="152"/>
      <c r="F39" s="187"/>
      <c r="G39" s="187"/>
      <c r="H39" s="220"/>
      <c r="I39" s="106" t="s">
        <v>38</v>
      </c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75"/>
      <c r="V39" s="68"/>
      <c r="W39" s="68"/>
      <c r="X39" s="68"/>
      <c r="Y39" s="68">
        <v>1</v>
      </c>
      <c r="Z39" s="69">
        <v>1</v>
      </c>
      <c r="AA39" s="69">
        <v>1</v>
      </c>
      <c r="AB39" s="69">
        <v>1</v>
      </c>
      <c r="AC39" s="69">
        <v>1</v>
      </c>
      <c r="AD39" s="69">
        <v>2</v>
      </c>
      <c r="AE39" s="69">
        <v>1</v>
      </c>
      <c r="AF39" s="69">
        <v>1.5</v>
      </c>
      <c r="AG39" s="69">
        <v>2</v>
      </c>
      <c r="AH39" s="69">
        <v>3</v>
      </c>
      <c r="AI39" s="69">
        <v>2</v>
      </c>
      <c r="AJ39" s="69">
        <v>1.5</v>
      </c>
      <c r="AK39" s="69">
        <v>1</v>
      </c>
      <c r="AL39" s="69">
        <v>2</v>
      </c>
      <c r="AM39" s="69">
        <v>2</v>
      </c>
      <c r="AN39" s="69">
        <v>2</v>
      </c>
      <c r="AO39" s="69">
        <v>2</v>
      </c>
      <c r="AP39" s="69">
        <v>2</v>
      </c>
      <c r="AQ39" s="69">
        <v>2</v>
      </c>
      <c r="AR39" s="69">
        <v>1</v>
      </c>
      <c r="AS39" s="70"/>
      <c r="AT39" s="234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67">
        <f t="shared" si="0"/>
        <v>32</v>
      </c>
      <c r="CB39" s="171"/>
      <c r="CC39" s="90"/>
    </row>
    <row r="40" spans="1:81" ht="15.75" customHeight="1" x14ac:dyDescent="0.25">
      <c r="A40" s="156">
        <v>12</v>
      </c>
      <c r="B40" s="198" t="s">
        <v>44</v>
      </c>
      <c r="C40" s="165">
        <v>6</v>
      </c>
      <c r="D40" s="150">
        <v>120</v>
      </c>
      <c r="E40" s="150">
        <v>150</v>
      </c>
      <c r="F40" s="186">
        <v>110</v>
      </c>
      <c r="G40" s="186">
        <v>30</v>
      </c>
      <c r="H40" s="192">
        <v>10</v>
      </c>
      <c r="I40" s="106" t="s">
        <v>36</v>
      </c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7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>
        <v>5</v>
      </c>
      <c r="AT40" s="234"/>
      <c r="AU40" s="76">
        <v>5</v>
      </c>
      <c r="AV40" s="76">
        <v>5</v>
      </c>
      <c r="AW40" s="76">
        <v>5</v>
      </c>
      <c r="AX40" s="76">
        <v>5</v>
      </c>
      <c r="AY40" s="76">
        <v>5</v>
      </c>
      <c r="AZ40" s="76">
        <v>5</v>
      </c>
      <c r="BA40" s="76">
        <v>5</v>
      </c>
      <c r="BB40" s="76">
        <v>5</v>
      </c>
      <c r="BC40" s="76">
        <v>5</v>
      </c>
      <c r="BD40" s="76">
        <v>5</v>
      </c>
      <c r="BE40" s="76">
        <v>5</v>
      </c>
      <c r="BF40" s="76">
        <v>5</v>
      </c>
      <c r="BG40" s="76">
        <v>5</v>
      </c>
      <c r="BH40" s="76">
        <v>5</v>
      </c>
      <c r="BI40" s="76">
        <v>5</v>
      </c>
      <c r="BJ40" s="76">
        <v>5</v>
      </c>
      <c r="BK40" s="76">
        <v>5</v>
      </c>
      <c r="BL40" s="76">
        <v>5</v>
      </c>
      <c r="BM40" s="76">
        <v>5</v>
      </c>
      <c r="BN40" s="76">
        <v>5</v>
      </c>
      <c r="BO40" s="76">
        <v>5</v>
      </c>
      <c r="BP40" s="143"/>
      <c r="BQ40" s="143"/>
      <c r="BR40" s="76"/>
      <c r="BS40" s="76"/>
      <c r="BT40" s="76"/>
      <c r="BU40" s="76"/>
      <c r="BV40" s="76"/>
      <c r="BW40" s="76"/>
      <c r="BX40" s="76"/>
      <c r="BY40" s="76"/>
      <c r="BZ40" s="76"/>
      <c r="CA40" s="67">
        <f t="shared" si="0"/>
        <v>110</v>
      </c>
      <c r="CB40" s="171" t="s">
        <v>27</v>
      </c>
      <c r="CC40" s="90"/>
    </row>
    <row r="41" spans="1:81" ht="15.75" customHeight="1" x14ac:dyDescent="0.25">
      <c r="A41" s="157"/>
      <c r="B41" s="199"/>
      <c r="C41" s="166"/>
      <c r="D41" s="151"/>
      <c r="E41" s="151"/>
      <c r="F41" s="187"/>
      <c r="G41" s="187"/>
      <c r="H41" s="193"/>
      <c r="I41" s="106" t="s">
        <v>37</v>
      </c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7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234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144">
        <v>5</v>
      </c>
      <c r="BQ41" s="144">
        <v>5</v>
      </c>
      <c r="BR41" s="76"/>
      <c r="BS41" s="76"/>
      <c r="BT41" s="76"/>
      <c r="BU41" s="76"/>
      <c r="BV41" s="76"/>
      <c r="BW41" s="76"/>
      <c r="BX41" s="76"/>
      <c r="BY41" s="76"/>
      <c r="BZ41" s="76"/>
      <c r="CA41" s="67">
        <f t="shared" si="0"/>
        <v>10</v>
      </c>
      <c r="CB41" s="171"/>
      <c r="CC41" s="90"/>
    </row>
    <row r="42" spans="1:81" ht="17.25" customHeight="1" x14ac:dyDescent="0.25">
      <c r="A42" s="158"/>
      <c r="B42" s="200"/>
      <c r="C42" s="167"/>
      <c r="D42" s="152"/>
      <c r="E42" s="152"/>
      <c r="F42" s="188"/>
      <c r="G42" s="188"/>
      <c r="H42" s="194"/>
      <c r="I42" s="106" t="s">
        <v>38</v>
      </c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75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>
        <v>1</v>
      </c>
      <c r="AT42" s="234"/>
      <c r="AU42" s="68">
        <v>0.5</v>
      </c>
      <c r="AV42" s="68">
        <v>1</v>
      </c>
      <c r="AW42" s="68"/>
      <c r="AX42" s="68">
        <v>1</v>
      </c>
      <c r="AY42" s="68">
        <v>1</v>
      </c>
      <c r="AZ42" s="68">
        <v>1</v>
      </c>
      <c r="BA42" s="68"/>
      <c r="BB42" s="68">
        <v>1</v>
      </c>
      <c r="BC42" s="68">
        <v>1</v>
      </c>
      <c r="BD42" s="68">
        <v>3.5</v>
      </c>
      <c r="BE42" s="68">
        <v>4</v>
      </c>
      <c r="BF42" s="68">
        <v>4</v>
      </c>
      <c r="BG42" s="68">
        <v>4</v>
      </c>
      <c r="BH42" s="68">
        <v>1</v>
      </c>
      <c r="BI42" s="68">
        <v>1</v>
      </c>
      <c r="BJ42" s="68">
        <v>1</v>
      </c>
      <c r="BK42" s="68">
        <v>1</v>
      </c>
      <c r="BL42" s="68">
        <v>1</v>
      </c>
      <c r="BM42" s="68"/>
      <c r="BN42" s="68">
        <v>1</v>
      </c>
      <c r="BO42" s="68">
        <v>1</v>
      </c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7">
        <f t="shared" si="0"/>
        <v>30</v>
      </c>
      <c r="CB42" s="171"/>
      <c r="CC42" s="90"/>
    </row>
    <row r="43" spans="1:81" ht="18.75" customHeight="1" x14ac:dyDescent="0.25">
      <c r="A43" s="156">
        <v>13</v>
      </c>
      <c r="B43" s="198" t="s">
        <v>45</v>
      </c>
      <c r="C43" s="165">
        <v>8</v>
      </c>
      <c r="D43" s="150">
        <v>172</v>
      </c>
      <c r="E43" s="150">
        <v>200</v>
      </c>
      <c r="F43" s="201">
        <v>160</v>
      </c>
      <c r="G43" s="201">
        <v>28</v>
      </c>
      <c r="H43" s="212">
        <v>12</v>
      </c>
      <c r="I43" s="106" t="s">
        <v>36</v>
      </c>
      <c r="J43" s="78"/>
      <c r="K43" s="78"/>
      <c r="L43" s="78"/>
      <c r="M43" s="78"/>
      <c r="N43" s="78"/>
      <c r="O43" s="78"/>
      <c r="P43" s="78"/>
      <c r="Q43" s="76"/>
      <c r="R43" s="76"/>
      <c r="S43" s="76"/>
      <c r="T43" s="76"/>
      <c r="U43" s="77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>
        <v>1</v>
      </c>
      <c r="AT43" s="234"/>
      <c r="AU43" s="76">
        <v>7</v>
      </c>
      <c r="AV43" s="76">
        <v>7</v>
      </c>
      <c r="AW43" s="76">
        <v>7</v>
      </c>
      <c r="AX43" s="76">
        <v>7</v>
      </c>
      <c r="AY43" s="76">
        <v>7</v>
      </c>
      <c r="AZ43" s="76">
        <v>7</v>
      </c>
      <c r="BA43" s="76">
        <v>7</v>
      </c>
      <c r="BB43" s="76">
        <v>7</v>
      </c>
      <c r="BC43" s="76">
        <v>7</v>
      </c>
      <c r="BD43" s="76">
        <v>7</v>
      </c>
      <c r="BE43" s="76">
        <v>7</v>
      </c>
      <c r="BF43" s="76">
        <v>7</v>
      </c>
      <c r="BG43" s="76">
        <v>7</v>
      </c>
      <c r="BH43" s="76">
        <v>8</v>
      </c>
      <c r="BI43" s="76">
        <v>8</v>
      </c>
      <c r="BJ43" s="76">
        <v>8</v>
      </c>
      <c r="BK43" s="76">
        <v>8</v>
      </c>
      <c r="BL43" s="76">
        <v>8</v>
      </c>
      <c r="BM43" s="76">
        <v>8</v>
      </c>
      <c r="BN43" s="76">
        <v>8</v>
      </c>
      <c r="BO43" s="76">
        <v>8</v>
      </c>
      <c r="BP43" s="143">
        <v>4</v>
      </c>
      <c r="BQ43" s="143"/>
      <c r="BR43" s="76"/>
      <c r="BS43" s="76"/>
      <c r="BT43" s="76"/>
      <c r="BU43" s="76"/>
      <c r="BV43" s="76"/>
      <c r="BW43" s="76"/>
      <c r="BX43" s="76"/>
      <c r="BY43" s="76"/>
      <c r="BZ43" s="76"/>
      <c r="CA43" s="67">
        <f t="shared" si="0"/>
        <v>160</v>
      </c>
      <c r="CB43" s="171" t="s">
        <v>34</v>
      </c>
      <c r="CC43" s="90"/>
    </row>
    <row r="44" spans="1:81" ht="18.75" customHeight="1" x14ac:dyDescent="0.25">
      <c r="A44" s="157"/>
      <c r="B44" s="199"/>
      <c r="C44" s="166"/>
      <c r="D44" s="151"/>
      <c r="E44" s="151"/>
      <c r="F44" s="202"/>
      <c r="G44" s="202"/>
      <c r="H44" s="213"/>
      <c r="I44" s="106" t="s">
        <v>37</v>
      </c>
      <c r="J44" s="78"/>
      <c r="K44" s="78"/>
      <c r="L44" s="78"/>
      <c r="M44" s="78"/>
      <c r="N44" s="78"/>
      <c r="O44" s="78"/>
      <c r="P44" s="78"/>
      <c r="Q44" s="76"/>
      <c r="R44" s="76"/>
      <c r="S44" s="76"/>
      <c r="T44" s="76"/>
      <c r="U44" s="77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234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144">
        <v>4</v>
      </c>
      <c r="BQ44" s="144">
        <v>8</v>
      </c>
      <c r="BR44" s="76"/>
      <c r="BS44" s="76"/>
      <c r="BT44" s="76"/>
      <c r="BU44" s="76"/>
      <c r="BV44" s="76"/>
      <c r="BW44" s="76"/>
      <c r="BX44" s="76"/>
      <c r="BY44" s="76"/>
      <c r="BZ44" s="76"/>
      <c r="CA44" s="67">
        <f t="shared" si="0"/>
        <v>12</v>
      </c>
      <c r="CB44" s="171"/>
      <c r="CC44" s="90"/>
    </row>
    <row r="45" spans="1:81" ht="18.75" customHeight="1" x14ac:dyDescent="0.25">
      <c r="A45" s="158"/>
      <c r="B45" s="200"/>
      <c r="C45" s="167"/>
      <c r="D45" s="152"/>
      <c r="E45" s="152"/>
      <c r="F45" s="203"/>
      <c r="G45" s="203"/>
      <c r="H45" s="214"/>
      <c r="I45" s="106" t="s">
        <v>38</v>
      </c>
      <c r="J45" s="61"/>
      <c r="K45" s="61"/>
      <c r="L45" s="61"/>
      <c r="M45" s="61"/>
      <c r="N45" s="61"/>
      <c r="O45" s="61"/>
      <c r="P45" s="61"/>
      <c r="Q45" s="68"/>
      <c r="R45" s="68"/>
      <c r="S45" s="68"/>
      <c r="T45" s="68"/>
      <c r="U45" s="75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>
        <v>1</v>
      </c>
      <c r="AT45" s="234"/>
      <c r="AU45" s="68">
        <v>1</v>
      </c>
      <c r="AV45" s="68">
        <v>1</v>
      </c>
      <c r="AW45" s="68">
        <v>1</v>
      </c>
      <c r="AX45" s="68">
        <v>1</v>
      </c>
      <c r="AY45" s="68">
        <v>2</v>
      </c>
      <c r="AZ45" s="68">
        <v>1</v>
      </c>
      <c r="BA45" s="68">
        <v>1</v>
      </c>
      <c r="BB45" s="68">
        <v>1</v>
      </c>
      <c r="BC45" s="68">
        <v>2</v>
      </c>
      <c r="BD45" s="68">
        <v>1</v>
      </c>
      <c r="BE45" s="68">
        <v>1</v>
      </c>
      <c r="BF45" s="68">
        <v>1</v>
      </c>
      <c r="BG45" s="68">
        <v>1</v>
      </c>
      <c r="BH45" s="68">
        <v>1</v>
      </c>
      <c r="BI45" s="68">
        <v>1</v>
      </c>
      <c r="BJ45" s="68">
        <v>1</v>
      </c>
      <c r="BK45" s="68">
        <v>1.5</v>
      </c>
      <c r="BL45" s="68">
        <v>1</v>
      </c>
      <c r="BM45" s="68">
        <v>2</v>
      </c>
      <c r="BN45" s="68">
        <v>2</v>
      </c>
      <c r="BO45" s="68">
        <v>1</v>
      </c>
      <c r="BP45" s="68">
        <v>1.5</v>
      </c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7">
        <f t="shared" si="0"/>
        <v>28</v>
      </c>
      <c r="CB45" s="171"/>
      <c r="CC45" s="90"/>
    </row>
    <row r="46" spans="1:81" ht="21" customHeight="1" x14ac:dyDescent="0.25">
      <c r="A46" s="156">
        <v>14</v>
      </c>
      <c r="B46" s="216" t="s">
        <v>46</v>
      </c>
      <c r="C46" s="165">
        <v>3</v>
      </c>
      <c r="D46" s="150">
        <v>55</v>
      </c>
      <c r="E46" s="150">
        <v>75</v>
      </c>
      <c r="F46" s="202">
        <v>50</v>
      </c>
      <c r="G46" s="202">
        <v>20</v>
      </c>
      <c r="H46" s="210">
        <v>5</v>
      </c>
      <c r="I46" s="106" t="s">
        <v>36</v>
      </c>
      <c r="J46" s="95"/>
      <c r="K46" s="95"/>
      <c r="L46" s="95"/>
      <c r="M46" s="95"/>
      <c r="N46" s="95"/>
      <c r="O46" s="95"/>
      <c r="P46" s="95"/>
      <c r="Q46" s="96"/>
      <c r="R46" s="96"/>
      <c r="S46" s="96"/>
      <c r="T46" s="96"/>
      <c r="U46" s="121"/>
      <c r="V46" s="121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234"/>
      <c r="AU46" s="96"/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6"/>
      <c r="BG46" s="96"/>
      <c r="BH46" s="96"/>
      <c r="BI46" s="96"/>
      <c r="BJ46" s="96"/>
      <c r="BK46" s="96"/>
      <c r="BL46" s="96"/>
      <c r="BM46" s="96"/>
      <c r="BN46" s="96"/>
      <c r="BO46" s="96"/>
      <c r="BP46" s="96"/>
      <c r="BQ46" s="96"/>
      <c r="BR46" s="96">
        <v>10</v>
      </c>
      <c r="BS46" s="96">
        <v>10</v>
      </c>
      <c r="BT46" s="96">
        <v>10</v>
      </c>
      <c r="BU46" s="96">
        <v>10</v>
      </c>
      <c r="BV46" s="96">
        <v>10</v>
      </c>
      <c r="BW46" s="143"/>
      <c r="BX46" s="96"/>
      <c r="BY46" s="96"/>
      <c r="BZ46" s="96"/>
      <c r="CA46" s="67">
        <f t="shared" si="0"/>
        <v>50</v>
      </c>
      <c r="CB46" s="171" t="s">
        <v>28</v>
      </c>
      <c r="CC46" s="90"/>
    </row>
    <row r="47" spans="1:81" ht="21" customHeight="1" x14ac:dyDescent="0.25">
      <c r="A47" s="157"/>
      <c r="B47" s="217"/>
      <c r="C47" s="166"/>
      <c r="D47" s="151"/>
      <c r="E47" s="151"/>
      <c r="F47" s="202"/>
      <c r="G47" s="202"/>
      <c r="H47" s="210"/>
      <c r="I47" s="106" t="s">
        <v>37</v>
      </c>
      <c r="J47" s="95"/>
      <c r="K47" s="95"/>
      <c r="L47" s="95"/>
      <c r="M47" s="95"/>
      <c r="N47" s="95"/>
      <c r="O47" s="95"/>
      <c r="P47" s="95"/>
      <c r="Q47" s="96"/>
      <c r="R47" s="96"/>
      <c r="S47" s="96"/>
      <c r="T47" s="96"/>
      <c r="U47" s="121"/>
      <c r="V47" s="121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234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6"/>
      <c r="BK47" s="96"/>
      <c r="BL47" s="96"/>
      <c r="BM47" s="96"/>
      <c r="BN47" s="96"/>
      <c r="BO47" s="96"/>
      <c r="BP47" s="96"/>
      <c r="BQ47" s="96"/>
      <c r="BR47" s="96"/>
      <c r="BS47" s="96"/>
      <c r="BT47" s="96"/>
      <c r="BU47" s="96"/>
      <c r="BV47" s="96"/>
      <c r="BW47" s="144">
        <v>5</v>
      </c>
      <c r="BX47" s="96"/>
      <c r="BY47" s="96"/>
      <c r="BZ47" s="96"/>
      <c r="CA47" s="67">
        <f t="shared" si="0"/>
        <v>5</v>
      </c>
      <c r="CB47" s="171"/>
      <c r="CC47" s="90"/>
    </row>
    <row r="48" spans="1:81" ht="18.75" customHeight="1" x14ac:dyDescent="0.25">
      <c r="A48" s="158"/>
      <c r="B48" s="218"/>
      <c r="C48" s="167"/>
      <c r="D48" s="152"/>
      <c r="E48" s="152"/>
      <c r="F48" s="202"/>
      <c r="G48" s="202"/>
      <c r="H48" s="210"/>
      <c r="I48" s="106" t="s">
        <v>38</v>
      </c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75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234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>
        <v>6</v>
      </c>
      <c r="BS48" s="68">
        <v>6</v>
      </c>
      <c r="BT48" s="68">
        <v>2</v>
      </c>
      <c r="BU48" s="68">
        <v>1</v>
      </c>
      <c r="BV48" s="68">
        <v>3</v>
      </c>
      <c r="BW48" s="68">
        <v>2</v>
      </c>
      <c r="BX48" s="68"/>
      <c r="BY48" s="68"/>
      <c r="BZ48" s="68"/>
      <c r="CA48" s="67">
        <f t="shared" si="0"/>
        <v>20</v>
      </c>
      <c r="CB48" s="171"/>
      <c r="CC48" s="90"/>
    </row>
    <row r="49" spans="1:81" ht="20.25" customHeight="1" x14ac:dyDescent="0.25">
      <c r="A49" s="156">
        <v>15</v>
      </c>
      <c r="B49" s="216" t="s">
        <v>47</v>
      </c>
      <c r="C49" s="165">
        <v>3</v>
      </c>
      <c r="D49" s="150">
        <v>66</v>
      </c>
      <c r="E49" s="150">
        <v>75</v>
      </c>
      <c r="F49" s="201">
        <v>60</v>
      </c>
      <c r="G49" s="209">
        <v>9</v>
      </c>
      <c r="H49" s="201">
        <v>6</v>
      </c>
      <c r="I49" s="106" t="s">
        <v>36</v>
      </c>
      <c r="J49" s="95"/>
      <c r="K49" s="95"/>
      <c r="L49" s="95"/>
      <c r="M49" s="95"/>
      <c r="N49" s="95"/>
      <c r="O49" s="95"/>
      <c r="P49" s="95"/>
      <c r="Q49" s="140"/>
      <c r="R49" s="95"/>
      <c r="S49" s="95"/>
      <c r="T49" s="95"/>
      <c r="U49" s="95"/>
      <c r="V49" s="95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6"/>
      <c r="AT49" s="234"/>
      <c r="AU49" s="96"/>
      <c r="AV49" s="96"/>
      <c r="AW49" s="96"/>
      <c r="AX49" s="96"/>
      <c r="AY49" s="96"/>
      <c r="AZ49" s="96"/>
      <c r="BA49" s="96"/>
      <c r="BB49" s="96"/>
      <c r="BC49" s="96"/>
      <c r="BD49" s="96"/>
      <c r="BE49" s="96"/>
      <c r="BF49" s="96"/>
      <c r="BG49" s="96"/>
      <c r="BH49" s="96"/>
      <c r="BI49" s="96"/>
      <c r="BJ49" s="96"/>
      <c r="BK49" s="96"/>
      <c r="BL49" s="96"/>
      <c r="BM49" s="96"/>
      <c r="BN49" s="96"/>
      <c r="BO49" s="96"/>
      <c r="BP49" s="96"/>
      <c r="BQ49" s="96">
        <v>2</v>
      </c>
      <c r="BR49" s="96">
        <v>10</v>
      </c>
      <c r="BS49" s="96">
        <v>10</v>
      </c>
      <c r="BT49" s="96">
        <v>10</v>
      </c>
      <c r="BU49" s="96">
        <v>10</v>
      </c>
      <c r="BV49" s="96">
        <v>10</v>
      </c>
      <c r="BW49" s="143">
        <v>8</v>
      </c>
      <c r="BX49" s="96"/>
      <c r="BY49" s="96"/>
      <c r="BZ49" s="96"/>
      <c r="CA49" s="67">
        <f t="shared" si="0"/>
        <v>60</v>
      </c>
      <c r="CB49" s="171" t="s">
        <v>29</v>
      </c>
      <c r="CC49" s="90"/>
    </row>
    <row r="50" spans="1:81" ht="20.25" customHeight="1" x14ac:dyDescent="0.25">
      <c r="A50" s="157"/>
      <c r="B50" s="217"/>
      <c r="C50" s="166"/>
      <c r="D50" s="151"/>
      <c r="E50" s="151"/>
      <c r="F50" s="202"/>
      <c r="G50" s="210"/>
      <c r="H50" s="202"/>
      <c r="I50" s="106" t="s">
        <v>37</v>
      </c>
      <c r="J50" s="95"/>
      <c r="K50" s="95"/>
      <c r="L50" s="95"/>
      <c r="M50" s="95"/>
      <c r="N50" s="95"/>
      <c r="O50" s="95"/>
      <c r="P50" s="95"/>
      <c r="Q50" s="140"/>
      <c r="R50" s="95"/>
      <c r="S50" s="95"/>
      <c r="T50" s="95"/>
      <c r="U50" s="95"/>
      <c r="V50" s="95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234"/>
      <c r="AU50" s="96"/>
      <c r="AV50" s="96"/>
      <c r="AW50" s="96"/>
      <c r="AX50" s="96"/>
      <c r="AY50" s="96"/>
      <c r="AZ50" s="96"/>
      <c r="BA50" s="96"/>
      <c r="BB50" s="96"/>
      <c r="BC50" s="96"/>
      <c r="BD50" s="96"/>
      <c r="BE50" s="96"/>
      <c r="BF50" s="96"/>
      <c r="BG50" s="96"/>
      <c r="BH50" s="96"/>
      <c r="BI50" s="96"/>
      <c r="BJ50" s="96"/>
      <c r="BK50" s="96"/>
      <c r="BL50" s="96"/>
      <c r="BM50" s="96"/>
      <c r="BN50" s="96"/>
      <c r="BO50" s="96"/>
      <c r="BP50" s="96"/>
      <c r="BQ50" s="96"/>
      <c r="BR50" s="96"/>
      <c r="BS50" s="96"/>
      <c r="BT50" s="96"/>
      <c r="BU50" s="96"/>
      <c r="BV50" s="96"/>
      <c r="BW50" s="144">
        <v>6</v>
      </c>
      <c r="BX50" s="96"/>
      <c r="BY50" s="96"/>
      <c r="BZ50" s="96"/>
      <c r="CA50" s="67">
        <f t="shared" si="0"/>
        <v>6</v>
      </c>
      <c r="CB50" s="171"/>
      <c r="CC50" s="90"/>
    </row>
    <row r="51" spans="1:81" ht="15.75" customHeight="1" x14ac:dyDescent="0.25">
      <c r="A51" s="158"/>
      <c r="B51" s="218"/>
      <c r="C51" s="167"/>
      <c r="D51" s="152"/>
      <c r="E51" s="152"/>
      <c r="F51" s="203"/>
      <c r="G51" s="211"/>
      <c r="H51" s="203"/>
      <c r="I51" s="106" t="s">
        <v>38</v>
      </c>
      <c r="J51" s="61"/>
      <c r="K51" s="61"/>
      <c r="L51" s="61"/>
      <c r="M51" s="61"/>
      <c r="N51" s="61"/>
      <c r="O51" s="61"/>
      <c r="P51" s="61"/>
      <c r="Q51" s="79"/>
      <c r="R51" s="61"/>
      <c r="S51" s="61"/>
      <c r="T51" s="61"/>
      <c r="U51" s="61"/>
      <c r="V51" s="61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234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>
        <v>1</v>
      </c>
      <c r="BR51" s="68">
        <v>1</v>
      </c>
      <c r="BS51" s="68">
        <v>2</v>
      </c>
      <c r="BT51" s="68">
        <v>1</v>
      </c>
      <c r="BU51" s="68">
        <v>1</v>
      </c>
      <c r="BV51" s="68">
        <v>1</v>
      </c>
      <c r="BW51" s="68">
        <v>2</v>
      </c>
      <c r="BX51" s="68"/>
      <c r="BY51" s="68"/>
      <c r="BZ51" s="68"/>
      <c r="CA51" s="67">
        <f t="shared" si="0"/>
        <v>9</v>
      </c>
      <c r="CB51" s="171"/>
      <c r="CC51" s="90"/>
    </row>
    <row r="52" spans="1:81" ht="18" customHeight="1" x14ac:dyDescent="0.25">
      <c r="A52" s="156">
        <v>16</v>
      </c>
      <c r="B52" s="198" t="s">
        <v>48</v>
      </c>
      <c r="C52" s="165">
        <v>4</v>
      </c>
      <c r="D52" s="150">
        <v>92</v>
      </c>
      <c r="E52" s="150">
        <v>100</v>
      </c>
      <c r="F52" s="201">
        <v>89</v>
      </c>
      <c r="G52" s="209">
        <v>8</v>
      </c>
      <c r="H52" s="201">
        <v>3</v>
      </c>
      <c r="I52" s="106" t="s">
        <v>36</v>
      </c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>
        <v>3</v>
      </c>
      <c r="AI52" s="76">
        <v>3</v>
      </c>
      <c r="AJ52" s="76">
        <v>3</v>
      </c>
      <c r="AK52" s="76">
        <v>3</v>
      </c>
      <c r="AL52" s="76">
        <v>3</v>
      </c>
      <c r="AM52" s="76">
        <v>3</v>
      </c>
      <c r="AN52" s="76">
        <v>3</v>
      </c>
      <c r="AO52" s="76">
        <v>3</v>
      </c>
      <c r="AP52" s="76">
        <v>3</v>
      </c>
      <c r="AQ52" s="76">
        <v>3</v>
      </c>
      <c r="AR52" s="76">
        <v>3</v>
      </c>
      <c r="AS52" s="76">
        <v>2</v>
      </c>
      <c r="AT52" s="234"/>
      <c r="AU52" s="76">
        <v>3</v>
      </c>
      <c r="AV52" s="76">
        <v>3</v>
      </c>
      <c r="AW52" s="76">
        <v>3</v>
      </c>
      <c r="AX52" s="143">
        <v>1</v>
      </c>
      <c r="AY52" s="76">
        <v>3</v>
      </c>
      <c r="AZ52" s="76">
        <v>3</v>
      </c>
      <c r="BA52" s="76">
        <v>3</v>
      </c>
      <c r="BB52" s="76">
        <v>3</v>
      </c>
      <c r="BC52" s="76">
        <v>3</v>
      </c>
      <c r="BD52" s="76">
        <v>3</v>
      </c>
      <c r="BE52" s="76">
        <v>3</v>
      </c>
      <c r="BF52" s="76">
        <v>3</v>
      </c>
      <c r="BG52" s="76">
        <v>3</v>
      </c>
      <c r="BH52" s="76">
        <v>2</v>
      </c>
      <c r="BI52" s="76">
        <v>2</v>
      </c>
      <c r="BJ52" s="76">
        <v>2</v>
      </c>
      <c r="BK52" s="76">
        <v>2</v>
      </c>
      <c r="BL52" s="76">
        <v>2</v>
      </c>
      <c r="BM52" s="76">
        <v>2</v>
      </c>
      <c r="BN52" s="76">
        <v>2</v>
      </c>
      <c r="BO52" s="76">
        <v>2</v>
      </c>
      <c r="BP52" s="143">
        <v>1</v>
      </c>
      <c r="BQ52" s="76"/>
      <c r="BR52" s="76"/>
      <c r="BS52" s="76"/>
      <c r="BT52" s="76"/>
      <c r="BU52" s="76"/>
      <c r="BV52" s="76"/>
      <c r="BW52" s="76"/>
      <c r="BX52" s="76"/>
      <c r="BY52" s="76"/>
      <c r="BZ52" s="76"/>
      <c r="CA52" s="67">
        <f t="shared" si="0"/>
        <v>89</v>
      </c>
      <c r="CB52" s="171" t="s">
        <v>30</v>
      </c>
      <c r="CC52" s="90"/>
    </row>
    <row r="53" spans="1:81" ht="18" customHeight="1" x14ac:dyDescent="0.25">
      <c r="A53" s="157"/>
      <c r="B53" s="199"/>
      <c r="C53" s="166"/>
      <c r="D53" s="151"/>
      <c r="E53" s="151"/>
      <c r="F53" s="202"/>
      <c r="G53" s="210"/>
      <c r="H53" s="202"/>
      <c r="I53" s="106" t="s">
        <v>37</v>
      </c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234"/>
      <c r="AU53" s="76"/>
      <c r="AV53" s="76"/>
      <c r="AW53" s="76"/>
      <c r="AX53" s="144">
        <v>2</v>
      </c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144">
        <v>1</v>
      </c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67">
        <f t="shared" si="0"/>
        <v>3</v>
      </c>
      <c r="CB53" s="171"/>
      <c r="CC53" s="90"/>
    </row>
    <row r="54" spans="1:81" ht="16.5" customHeight="1" x14ac:dyDescent="0.25">
      <c r="A54" s="158"/>
      <c r="B54" s="200"/>
      <c r="C54" s="167"/>
      <c r="D54" s="152"/>
      <c r="E54" s="152"/>
      <c r="F54" s="203"/>
      <c r="G54" s="211"/>
      <c r="H54" s="203"/>
      <c r="I54" s="106" t="s">
        <v>38</v>
      </c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8"/>
      <c r="X54" s="68"/>
      <c r="Y54" s="68"/>
      <c r="Z54" s="68"/>
      <c r="AA54" s="63"/>
      <c r="AB54" s="63"/>
      <c r="AC54" s="63"/>
      <c r="AD54" s="63"/>
      <c r="AE54" s="63"/>
      <c r="AF54" s="63"/>
      <c r="AG54" s="68"/>
      <c r="AH54" s="68"/>
      <c r="AI54" s="68">
        <v>1</v>
      </c>
      <c r="AJ54" s="68"/>
      <c r="AK54" s="68"/>
      <c r="AL54" s="68"/>
      <c r="AM54" s="68"/>
      <c r="AN54" s="68">
        <v>1</v>
      </c>
      <c r="AO54" s="68"/>
      <c r="AP54" s="68"/>
      <c r="AQ54" s="68"/>
      <c r="AR54" s="68"/>
      <c r="AS54" s="69">
        <v>1</v>
      </c>
      <c r="AT54" s="234"/>
      <c r="AU54" s="69"/>
      <c r="AV54" s="68"/>
      <c r="AW54" s="68">
        <v>1</v>
      </c>
      <c r="AX54" s="68"/>
      <c r="AY54" s="68"/>
      <c r="AZ54" s="68"/>
      <c r="BA54" s="68">
        <v>1</v>
      </c>
      <c r="BB54" s="68"/>
      <c r="BC54" s="68"/>
      <c r="BD54" s="68"/>
      <c r="BE54" s="68"/>
      <c r="BF54" s="68"/>
      <c r="BG54" s="68"/>
      <c r="BH54" s="68">
        <v>1</v>
      </c>
      <c r="BI54" s="68"/>
      <c r="BJ54" s="68"/>
      <c r="BK54" s="68"/>
      <c r="BL54" s="68">
        <v>1</v>
      </c>
      <c r="BM54" s="68"/>
      <c r="BN54" s="68"/>
      <c r="BO54" s="68">
        <v>1</v>
      </c>
      <c r="BP54" s="68"/>
      <c r="BQ54" s="68"/>
      <c r="BR54" s="68"/>
      <c r="BS54" s="68"/>
      <c r="BT54" s="68"/>
      <c r="BU54" s="68"/>
      <c r="BV54" s="68"/>
      <c r="BW54" s="68"/>
      <c r="BX54" s="68"/>
      <c r="BY54" s="68"/>
      <c r="BZ54" s="68"/>
      <c r="CA54" s="67">
        <f t="shared" si="0"/>
        <v>8</v>
      </c>
      <c r="CB54" s="171"/>
      <c r="CC54" s="90"/>
    </row>
    <row r="55" spans="1:81" ht="17.25" customHeight="1" x14ac:dyDescent="0.25">
      <c r="A55" s="156">
        <v>17</v>
      </c>
      <c r="B55" s="216" t="s">
        <v>49</v>
      </c>
      <c r="C55" s="165">
        <v>3</v>
      </c>
      <c r="D55" s="150">
        <v>62</v>
      </c>
      <c r="E55" s="150">
        <v>75</v>
      </c>
      <c r="F55" s="201">
        <v>60</v>
      </c>
      <c r="G55" s="212">
        <v>13</v>
      </c>
      <c r="H55" s="202">
        <v>2</v>
      </c>
      <c r="I55" s="106" t="s">
        <v>36</v>
      </c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234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96"/>
      <c r="BO55" s="96"/>
      <c r="BP55" s="96"/>
      <c r="BQ55" s="96">
        <v>2</v>
      </c>
      <c r="BR55" s="96">
        <v>10</v>
      </c>
      <c r="BS55" s="143">
        <v>9</v>
      </c>
      <c r="BT55" s="96">
        <v>10</v>
      </c>
      <c r="BU55" s="96">
        <v>10</v>
      </c>
      <c r="BV55" s="96">
        <v>10</v>
      </c>
      <c r="BW55" s="143">
        <v>9</v>
      </c>
      <c r="BX55" s="96"/>
      <c r="BY55" s="96"/>
      <c r="BZ55" s="96"/>
      <c r="CA55" s="67">
        <f t="shared" si="0"/>
        <v>60</v>
      </c>
      <c r="CB55" s="171" t="s">
        <v>31</v>
      </c>
      <c r="CC55" s="90"/>
    </row>
    <row r="56" spans="1:81" ht="17.25" customHeight="1" x14ac:dyDescent="0.25">
      <c r="A56" s="157"/>
      <c r="B56" s="217"/>
      <c r="C56" s="166"/>
      <c r="D56" s="151"/>
      <c r="E56" s="151"/>
      <c r="F56" s="202"/>
      <c r="G56" s="213"/>
      <c r="H56" s="202"/>
      <c r="I56" s="106" t="s">
        <v>37</v>
      </c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5"/>
      <c r="AT56" s="234"/>
      <c r="AU56" s="95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6"/>
      <c r="BK56" s="96"/>
      <c r="BL56" s="96"/>
      <c r="BM56" s="96"/>
      <c r="BN56" s="96"/>
      <c r="BO56" s="96"/>
      <c r="BP56" s="96"/>
      <c r="BQ56" s="96"/>
      <c r="BR56" s="96"/>
      <c r="BS56" s="144">
        <v>1</v>
      </c>
      <c r="BT56" s="96"/>
      <c r="BU56" s="96"/>
      <c r="BV56" s="96"/>
      <c r="BW56" s="144">
        <v>1</v>
      </c>
      <c r="BX56" s="96"/>
      <c r="BY56" s="96"/>
      <c r="BZ56" s="96"/>
      <c r="CA56" s="67">
        <f t="shared" si="0"/>
        <v>2</v>
      </c>
      <c r="CB56" s="171"/>
      <c r="CC56" s="90"/>
    </row>
    <row r="57" spans="1:81" ht="14.25" customHeight="1" x14ac:dyDescent="0.25">
      <c r="A57" s="158"/>
      <c r="B57" s="218"/>
      <c r="C57" s="167"/>
      <c r="D57" s="152"/>
      <c r="E57" s="152"/>
      <c r="F57" s="203"/>
      <c r="G57" s="214"/>
      <c r="H57" s="203"/>
      <c r="I57" s="106" t="s">
        <v>38</v>
      </c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234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>
        <v>1</v>
      </c>
      <c r="BR57" s="68">
        <v>2</v>
      </c>
      <c r="BS57" s="68">
        <v>1</v>
      </c>
      <c r="BT57" s="68">
        <v>2</v>
      </c>
      <c r="BU57" s="68">
        <v>2</v>
      </c>
      <c r="BV57" s="68">
        <v>2</v>
      </c>
      <c r="BW57" s="68">
        <v>3</v>
      </c>
      <c r="BX57" s="68"/>
      <c r="BY57" s="68"/>
      <c r="BZ57" s="68"/>
      <c r="CA57" s="67">
        <f t="shared" si="0"/>
        <v>13</v>
      </c>
      <c r="CB57" s="171"/>
      <c r="CC57" s="90"/>
    </row>
    <row r="58" spans="1:81" ht="14.25" customHeight="1" x14ac:dyDescent="0.25">
      <c r="A58" s="156">
        <v>18</v>
      </c>
      <c r="B58" s="195" t="s">
        <v>50</v>
      </c>
      <c r="C58" s="165">
        <v>4</v>
      </c>
      <c r="D58" s="150">
        <v>63</v>
      </c>
      <c r="E58" s="150">
        <v>100</v>
      </c>
      <c r="F58" s="201">
        <v>60</v>
      </c>
      <c r="G58" s="201">
        <v>37</v>
      </c>
      <c r="H58" s="201">
        <v>3</v>
      </c>
      <c r="I58" s="106" t="s">
        <v>36</v>
      </c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3"/>
      <c r="V58" s="122"/>
      <c r="W58" s="122"/>
      <c r="X58" s="122"/>
      <c r="Y58" s="122"/>
      <c r="Z58" s="122"/>
      <c r="AA58" s="124"/>
      <c r="AB58" s="124"/>
      <c r="AC58" s="124"/>
      <c r="AD58" s="124"/>
      <c r="AE58" s="124"/>
      <c r="AF58" s="124"/>
      <c r="AG58" s="124"/>
      <c r="AH58" s="124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234"/>
      <c r="AU58" s="124"/>
      <c r="AV58" s="124"/>
      <c r="AW58" s="124"/>
      <c r="AX58" s="124"/>
      <c r="AY58" s="124"/>
      <c r="AZ58" s="124"/>
      <c r="BA58" s="124"/>
      <c r="BB58" s="124"/>
      <c r="BC58" s="124"/>
      <c r="BD58" s="124"/>
      <c r="BE58" s="124"/>
      <c r="BF58" s="124"/>
      <c r="BG58" s="124"/>
      <c r="BH58" s="124"/>
      <c r="BI58" s="124"/>
      <c r="BJ58" s="124"/>
      <c r="BK58" s="124"/>
      <c r="BL58" s="124"/>
      <c r="BM58" s="124"/>
      <c r="BN58" s="124"/>
      <c r="BO58" s="124"/>
      <c r="BP58" s="124"/>
      <c r="BQ58" s="124"/>
      <c r="BR58" s="124"/>
      <c r="BS58" s="124"/>
      <c r="BT58" s="124"/>
      <c r="BU58" s="124"/>
      <c r="BV58" s="124"/>
      <c r="BW58" s="124"/>
      <c r="BX58" s="146">
        <v>21</v>
      </c>
      <c r="BY58" s="146">
        <v>21</v>
      </c>
      <c r="BZ58" s="143">
        <v>18</v>
      </c>
      <c r="CA58" s="67">
        <f t="shared" si="0"/>
        <v>60</v>
      </c>
      <c r="CB58" s="171"/>
      <c r="CC58" s="90"/>
    </row>
    <row r="59" spans="1:81" ht="14.25" customHeight="1" x14ac:dyDescent="0.25">
      <c r="A59" s="157"/>
      <c r="B59" s="196"/>
      <c r="C59" s="166"/>
      <c r="D59" s="151"/>
      <c r="E59" s="151"/>
      <c r="F59" s="202"/>
      <c r="G59" s="202"/>
      <c r="H59" s="202"/>
      <c r="I59" s="106" t="s">
        <v>37</v>
      </c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3"/>
      <c r="V59" s="122"/>
      <c r="W59" s="122"/>
      <c r="X59" s="122"/>
      <c r="Y59" s="122"/>
      <c r="Z59" s="122"/>
      <c r="AA59" s="124"/>
      <c r="AB59" s="124"/>
      <c r="AC59" s="124"/>
      <c r="AD59" s="124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234"/>
      <c r="AU59" s="124"/>
      <c r="AV59" s="124"/>
      <c r="AW59" s="124"/>
      <c r="AX59" s="124"/>
      <c r="AY59" s="124"/>
      <c r="AZ59" s="124"/>
      <c r="BA59" s="124"/>
      <c r="BB59" s="124"/>
      <c r="BC59" s="124"/>
      <c r="BD59" s="124"/>
      <c r="BE59" s="124"/>
      <c r="BF59" s="124"/>
      <c r="BG59" s="124"/>
      <c r="BH59" s="124"/>
      <c r="BI59" s="124"/>
      <c r="BJ59" s="124"/>
      <c r="BK59" s="124"/>
      <c r="BL59" s="124"/>
      <c r="BM59" s="124"/>
      <c r="BN59" s="124"/>
      <c r="BO59" s="124"/>
      <c r="BP59" s="124"/>
      <c r="BQ59" s="124"/>
      <c r="BR59" s="124"/>
      <c r="BS59" s="124"/>
      <c r="BT59" s="124"/>
      <c r="BU59" s="124"/>
      <c r="BV59" s="124"/>
      <c r="BW59" s="124"/>
      <c r="BX59" s="124"/>
      <c r="BY59" s="124"/>
      <c r="BZ59" s="144">
        <v>3</v>
      </c>
      <c r="CA59" s="67">
        <f>SUM(BE59:BZ59)</f>
        <v>3</v>
      </c>
      <c r="CB59" s="171"/>
      <c r="CC59" s="90"/>
    </row>
    <row r="60" spans="1:81" ht="14.25" customHeight="1" x14ac:dyDescent="0.25">
      <c r="A60" s="158"/>
      <c r="B60" s="197"/>
      <c r="C60" s="167"/>
      <c r="D60" s="152"/>
      <c r="E60" s="152"/>
      <c r="F60" s="203"/>
      <c r="G60" s="203"/>
      <c r="H60" s="203"/>
      <c r="I60" s="106" t="s">
        <v>38</v>
      </c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120"/>
      <c r="V60" s="61"/>
      <c r="W60" s="61"/>
      <c r="X60" s="61"/>
      <c r="Y60" s="61"/>
      <c r="Z60" s="61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235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  <c r="BV60" s="68"/>
      <c r="BW60" s="68"/>
      <c r="BX60" s="68">
        <v>12</v>
      </c>
      <c r="BY60" s="68">
        <v>12</v>
      </c>
      <c r="BZ60" s="68">
        <v>13</v>
      </c>
      <c r="CA60" s="67">
        <f>SUM(V60:BZ60)</f>
        <v>37</v>
      </c>
      <c r="CB60" s="171"/>
      <c r="CC60" s="90"/>
    </row>
    <row r="61" spans="1:81" ht="18.75" customHeight="1" x14ac:dyDescent="0.25">
      <c r="A61" s="61"/>
      <c r="B61" s="114" t="s">
        <v>20</v>
      </c>
      <c r="C61" s="112">
        <f t="shared" ref="C61:H61" si="1">SUM(C5:C60)</f>
        <v>88</v>
      </c>
      <c r="D61" s="112">
        <f t="shared" si="1"/>
        <v>1971</v>
      </c>
      <c r="E61" s="112">
        <f t="shared" si="1"/>
        <v>2200</v>
      </c>
      <c r="F61" s="113">
        <f t="shared" si="1"/>
        <v>1890</v>
      </c>
      <c r="G61" s="113">
        <f t="shared" si="1"/>
        <v>229</v>
      </c>
      <c r="H61" s="113">
        <f t="shared" si="1"/>
        <v>81</v>
      </c>
      <c r="I61" s="99"/>
      <c r="J61" s="69">
        <f t="shared" ref="J61:AW61" si="2">SUM(J5:J60)</f>
        <v>32</v>
      </c>
      <c r="K61" s="69">
        <f t="shared" si="2"/>
        <v>33</v>
      </c>
      <c r="L61" s="69">
        <f t="shared" si="2"/>
        <v>31</v>
      </c>
      <c r="M61" s="69">
        <f t="shared" si="2"/>
        <v>31</v>
      </c>
      <c r="N61" s="69">
        <f t="shared" si="2"/>
        <v>31</v>
      </c>
      <c r="O61" s="69">
        <f t="shared" si="2"/>
        <v>31</v>
      </c>
      <c r="P61" s="69">
        <f t="shared" si="2"/>
        <v>32.5</v>
      </c>
      <c r="Q61" s="69">
        <f t="shared" si="2"/>
        <v>32</v>
      </c>
      <c r="R61" s="69">
        <f t="shared" si="2"/>
        <v>32</v>
      </c>
      <c r="S61" s="69">
        <f t="shared" si="2"/>
        <v>31.5</v>
      </c>
      <c r="T61" s="69">
        <f t="shared" si="2"/>
        <v>30</v>
      </c>
      <c r="U61" s="80">
        <f t="shared" si="2"/>
        <v>30</v>
      </c>
      <c r="V61" s="69">
        <f t="shared" si="2"/>
        <v>28</v>
      </c>
      <c r="W61" s="69">
        <f t="shared" si="2"/>
        <v>31.5</v>
      </c>
      <c r="X61" s="69">
        <f t="shared" si="2"/>
        <v>30</v>
      </c>
      <c r="Y61" s="69">
        <f t="shared" si="2"/>
        <v>33</v>
      </c>
      <c r="Z61" s="69">
        <f t="shared" si="2"/>
        <v>33</v>
      </c>
      <c r="AA61" s="69">
        <f t="shared" si="2"/>
        <v>33</v>
      </c>
      <c r="AB61" s="69">
        <f t="shared" si="2"/>
        <v>32.5</v>
      </c>
      <c r="AC61" s="62">
        <f t="shared" si="2"/>
        <v>31</v>
      </c>
      <c r="AD61" s="62">
        <f t="shared" si="2"/>
        <v>30</v>
      </c>
      <c r="AE61" s="69">
        <f t="shared" si="2"/>
        <v>31</v>
      </c>
      <c r="AF61" s="69">
        <f t="shared" si="2"/>
        <v>30.5</v>
      </c>
      <c r="AG61" s="69">
        <f t="shared" si="2"/>
        <v>28</v>
      </c>
      <c r="AH61" s="69">
        <f t="shared" si="2"/>
        <v>32.5</v>
      </c>
      <c r="AI61" s="69">
        <f t="shared" si="2"/>
        <v>33</v>
      </c>
      <c r="AJ61" s="69">
        <f t="shared" si="2"/>
        <v>31.5</v>
      </c>
      <c r="AK61" s="69">
        <f t="shared" si="2"/>
        <v>31</v>
      </c>
      <c r="AL61" s="69">
        <f t="shared" si="2"/>
        <v>33</v>
      </c>
      <c r="AM61" s="69">
        <f t="shared" si="2"/>
        <v>32</v>
      </c>
      <c r="AN61" s="69">
        <f t="shared" si="2"/>
        <v>33</v>
      </c>
      <c r="AO61" s="69">
        <f t="shared" si="2"/>
        <v>32</v>
      </c>
      <c r="AP61" s="69">
        <f t="shared" si="2"/>
        <v>32</v>
      </c>
      <c r="AQ61" s="69">
        <f t="shared" si="2"/>
        <v>33</v>
      </c>
      <c r="AR61" s="69">
        <f t="shared" si="2"/>
        <v>31</v>
      </c>
      <c r="AS61" s="69">
        <f t="shared" si="2"/>
        <v>32</v>
      </c>
      <c r="AT61" s="69"/>
      <c r="AU61" s="69">
        <f t="shared" si="2"/>
        <v>31.5</v>
      </c>
      <c r="AV61" s="69">
        <f t="shared" si="2"/>
        <v>32</v>
      </c>
      <c r="AW61" s="69">
        <f t="shared" si="2"/>
        <v>32</v>
      </c>
      <c r="AX61" s="69">
        <f t="shared" ref="AX61:BZ61" si="3">SUM(AX9:AX60)</f>
        <v>33</v>
      </c>
      <c r="AY61" s="69">
        <f t="shared" si="3"/>
        <v>33</v>
      </c>
      <c r="AZ61" s="69">
        <f t="shared" si="3"/>
        <v>32</v>
      </c>
      <c r="BA61" s="68">
        <f t="shared" si="3"/>
        <v>32</v>
      </c>
      <c r="BB61" s="68">
        <f t="shared" si="3"/>
        <v>33</v>
      </c>
      <c r="BC61" s="68">
        <f t="shared" si="3"/>
        <v>33</v>
      </c>
      <c r="BD61" s="68">
        <f t="shared" si="3"/>
        <v>34.5</v>
      </c>
      <c r="BE61" s="68">
        <f t="shared" si="3"/>
        <v>36</v>
      </c>
      <c r="BF61" s="68">
        <f t="shared" si="3"/>
        <v>35</v>
      </c>
      <c r="BG61" s="68">
        <f t="shared" si="3"/>
        <v>33</v>
      </c>
      <c r="BH61" s="68">
        <f t="shared" si="3"/>
        <v>32</v>
      </c>
      <c r="BI61" s="68">
        <f t="shared" si="3"/>
        <v>32</v>
      </c>
      <c r="BJ61" s="68">
        <f t="shared" si="3"/>
        <v>31</v>
      </c>
      <c r="BK61" s="68">
        <f t="shared" si="3"/>
        <v>31.5</v>
      </c>
      <c r="BL61" s="68">
        <f t="shared" si="3"/>
        <v>33</v>
      </c>
      <c r="BM61" s="68">
        <f t="shared" si="3"/>
        <v>31</v>
      </c>
      <c r="BN61" s="68">
        <f t="shared" si="3"/>
        <v>32</v>
      </c>
      <c r="BO61" s="68">
        <f t="shared" si="3"/>
        <v>31.5</v>
      </c>
      <c r="BP61" s="68">
        <f t="shared" si="3"/>
        <v>30.5</v>
      </c>
      <c r="BQ61" s="68">
        <f t="shared" si="3"/>
        <v>32</v>
      </c>
      <c r="BR61" s="68">
        <f t="shared" si="3"/>
        <v>39</v>
      </c>
      <c r="BS61" s="68">
        <f t="shared" si="3"/>
        <v>39</v>
      </c>
      <c r="BT61" s="68">
        <f t="shared" si="3"/>
        <v>35</v>
      </c>
      <c r="BU61" s="68">
        <f t="shared" si="3"/>
        <v>34</v>
      </c>
      <c r="BV61" s="68">
        <f t="shared" si="3"/>
        <v>36</v>
      </c>
      <c r="BW61" s="68">
        <f t="shared" si="3"/>
        <v>36</v>
      </c>
      <c r="BX61" s="68">
        <f t="shared" si="3"/>
        <v>33</v>
      </c>
      <c r="BY61" s="68">
        <f t="shared" si="3"/>
        <v>33</v>
      </c>
      <c r="BZ61" s="68">
        <f t="shared" si="3"/>
        <v>34</v>
      </c>
      <c r="CA61" s="86">
        <f>SUM(CA5:CA60)</f>
        <v>2200</v>
      </c>
      <c r="CB61" s="171"/>
      <c r="CC61" s="91"/>
    </row>
    <row r="62" spans="1:81" ht="18.75" customHeight="1" x14ac:dyDescent="0.25">
      <c r="A62" s="61"/>
      <c r="B62" s="81"/>
      <c r="C62" s="82"/>
      <c r="D62" s="82"/>
      <c r="E62" s="83"/>
      <c r="F62" s="177" t="s">
        <v>0</v>
      </c>
      <c r="G62" s="177"/>
      <c r="H62" s="177"/>
      <c r="I62" s="105"/>
      <c r="J62" s="110">
        <v>1</v>
      </c>
      <c r="K62" s="110">
        <v>2</v>
      </c>
      <c r="L62" s="110">
        <v>3</v>
      </c>
      <c r="M62" s="110">
        <v>4</v>
      </c>
      <c r="N62" s="110">
        <v>5</v>
      </c>
      <c r="O62" s="110">
        <v>6</v>
      </c>
      <c r="P62" s="110">
        <v>7</v>
      </c>
      <c r="Q62" s="110">
        <v>8</v>
      </c>
      <c r="R62" s="110">
        <v>9</v>
      </c>
      <c r="S62" s="110">
        <v>10</v>
      </c>
      <c r="T62" s="110">
        <v>11</v>
      </c>
      <c r="U62" s="110">
        <v>12</v>
      </c>
      <c r="V62" s="110">
        <v>13</v>
      </c>
      <c r="W62" s="110">
        <v>14</v>
      </c>
      <c r="X62" s="110">
        <v>15</v>
      </c>
      <c r="Y62" s="110">
        <v>16</v>
      </c>
      <c r="Z62" s="110">
        <v>17</v>
      </c>
      <c r="AA62" s="110">
        <v>18</v>
      </c>
      <c r="AB62" s="110">
        <v>19</v>
      </c>
      <c r="AC62" s="110">
        <v>20</v>
      </c>
      <c r="AD62" s="110">
        <v>21</v>
      </c>
      <c r="AE62" s="110">
        <v>22</v>
      </c>
      <c r="AF62" s="110">
        <v>23</v>
      </c>
      <c r="AG62" s="110">
        <v>25</v>
      </c>
      <c r="AH62" s="110">
        <v>26</v>
      </c>
      <c r="AI62" s="110">
        <v>27</v>
      </c>
      <c r="AJ62" s="110">
        <v>28</v>
      </c>
      <c r="AK62" s="110">
        <v>29</v>
      </c>
      <c r="AL62" s="110">
        <v>30</v>
      </c>
      <c r="AM62" s="110">
        <v>31</v>
      </c>
      <c r="AN62" s="110">
        <v>32</v>
      </c>
      <c r="AO62" s="110">
        <v>33</v>
      </c>
      <c r="AP62" s="110">
        <v>34</v>
      </c>
      <c r="AQ62" s="110">
        <v>35</v>
      </c>
      <c r="AR62" s="110">
        <v>36</v>
      </c>
      <c r="AS62" s="110">
        <v>37</v>
      </c>
      <c r="AT62" s="110">
        <v>38</v>
      </c>
      <c r="AU62" s="110">
        <v>39</v>
      </c>
      <c r="AV62" s="110">
        <v>40</v>
      </c>
      <c r="AW62" s="110">
        <v>41</v>
      </c>
      <c r="AX62" s="110">
        <v>42</v>
      </c>
      <c r="AY62" s="110">
        <v>43</v>
      </c>
      <c r="AZ62" s="110">
        <v>44</v>
      </c>
      <c r="BA62" s="110">
        <v>45</v>
      </c>
      <c r="BB62" s="110">
        <v>46</v>
      </c>
      <c r="BC62" s="110">
        <v>47</v>
      </c>
      <c r="BD62" s="110">
        <v>48</v>
      </c>
      <c r="BE62" s="110">
        <v>49</v>
      </c>
      <c r="BF62" s="110">
        <v>50</v>
      </c>
      <c r="BG62" s="110">
        <v>51</v>
      </c>
      <c r="BH62" s="110">
        <v>52</v>
      </c>
      <c r="BI62" s="110">
        <v>53</v>
      </c>
      <c r="BJ62" s="110">
        <v>54</v>
      </c>
      <c r="BK62" s="110">
        <v>55</v>
      </c>
      <c r="BL62" s="110">
        <v>56</v>
      </c>
      <c r="BM62" s="110">
        <v>57</v>
      </c>
      <c r="BN62" s="110">
        <v>58</v>
      </c>
      <c r="BO62" s="110">
        <v>59</v>
      </c>
      <c r="BP62" s="110">
        <v>60</v>
      </c>
      <c r="BQ62" s="110">
        <v>61</v>
      </c>
      <c r="BR62" s="110">
        <v>62</v>
      </c>
      <c r="BS62" s="110">
        <v>63</v>
      </c>
      <c r="BT62" s="110">
        <v>64</v>
      </c>
      <c r="BU62" s="110">
        <v>65</v>
      </c>
      <c r="BV62" s="110">
        <v>66</v>
      </c>
      <c r="BW62" s="110">
        <v>67</v>
      </c>
      <c r="BX62" s="110">
        <v>68</v>
      </c>
      <c r="BY62" s="110">
        <v>69</v>
      </c>
      <c r="BZ62" s="110">
        <v>70</v>
      </c>
      <c r="CA62" s="128"/>
      <c r="CC62" s="92"/>
    </row>
    <row r="63" spans="1:81" ht="9.75" customHeight="1" x14ac:dyDescent="0.25">
      <c r="B63" s="50"/>
      <c r="C63" s="51"/>
      <c r="D63" s="51"/>
      <c r="E63" s="51"/>
      <c r="F63" s="51"/>
      <c r="G63" s="51"/>
      <c r="H63" s="51"/>
      <c r="I63" s="51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52"/>
      <c r="U63" s="52"/>
      <c r="V63" s="52"/>
      <c r="W63" s="46"/>
      <c r="X63" s="46"/>
      <c r="Y63" s="46"/>
      <c r="Z63" s="46"/>
      <c r="AA63" s="46"/>
      <c r="AB63" s="46"/>
      <c r="AC63" s="46"/>
      <c r="AD63" s="46"/>
      <c r="AE63" s="46"/>
      <c r="AF63" s="52"/>
      <c r="AG63" s="46"/>
      <c r="AH63" s="46"/>
      <c r="AI63" s="46"/>
      <c r="AJ63" s="52"/>
      <c r="AK63" s="52"/>
      <c r="AL63" s="52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46"/>
      <c r="CC63" s="46"/>
    </row>
    <row r="64" spans="1:81" ht="19.5" customHeight="1" x14ac:dyDescent="0.25">
      <c r="A64" s="68">
        <v>19</v>
      </c>
      <c r="B64" s="84" t="s">
        <v>11</v>
      </c>
      <c r="C64" s="87">
        <v>15</v>
      </c>
      <c r="D64" s="48">
        <v>295</v>
      </c>
      <c r="E64" s="48">
        <v>375</v>
      </c>
      <c r="F64" s="48">
        <v>283</v>
      </c>
      <c r="G64" s="48">
        <v>80</v>
      </c>
      <c r="H64" s="48">
        <v>12</v>
      </c>
      <c r="I64" s="101"/>
      <c r="J64" s="53">
        <v>36</v>
      </c>
      <c r="K64" s="53">
        <v>36</v>
      </c>
      <c r="L64" s="53">
        <v>34</v>
      </c>
      <c r="M64" s="53">
        <v>40</v>
      </c>
      <c r="N64" s="53">
        <v>40</v>
      </c>
      <c r="O64" s="53">
        <v>40</v>
      </c>
      <c r="P64" s="53">
        <v>40</v>
      </c>
      <c r="Q64" s="53">
        <v>40</v>
      </c>
      <c r="R64" s="53">
        <v>40</v>
      </c>
      <c r="S64" s="54">
        <v>29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46"/>
      <c r="AE64" s="46"/>
      <c r="AF64" s="47"/>
      <c r="AG64" s="228" t="s">
        <v>18</v>
      </c>
      <c r="AH64" s="228"/>
      <c r="AI64" s="228"/>
      <c r="AJ64" s="228"/>
      <c r="AK64" s="228"/>
      <c r="AL64" s="228"/>
      <c r="AM64" s="46"/>
      <c r="AN64" s="46"/>
      <c r="AO64" s="46"/>
      <c r="AP64" s="46"/>
      <c r="AQ64" s="141"/>
      <c r="AR64" s="172" t="s">
        <v>61</v>
      </c>
      <c r="AS64" s="173"/>
      <c r="AT64" s="173"/>
      <c r="AU64" s="173"/>
      <c r="AV64" s="173"/>
      <c r="AW64" s="174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93"/>
      <c r="CC64" s="46"/>
    </row>
    <row r="65" spans="1:81" ht="21.75" customHeight="1" x14ac:dyDescent="0.25">
      <c r="A65" s="69">
        <v>20</v>
      </c>
      <c r="B65" s="85" t="s">
        <v>14</v>
      </c>
      <c r="C65" s="88">
        <v>15</v>
      </c>
      <c r="D65" s="56">
        <v>296</v>
      </c>
      <c r="E65" s="56">
        <v>375</v>
      </c>
      <c r="F65" s="56">
        <v>284</v>
      </c>
      <c r="G65" s="57">
        <v>79</v>
      </c>
      <c r="H65" s="57">
        <v>12</v>
      </c>
      <c r="I65" s="57"/>
      <c r="J65" s="55"/>
      <c r="K65" s="55"/>
      <c r="L65" s="55"/>
      <c r="M65" s="55"/>
      <c r="N65" s="55"/>
      <c r="O65" s="55"/>
      <c r="P65" s="55"/>
      <c r="Q65" s="55"/>
      <c r="R65" s="55"/>
      <c r="S65" s="57"/>
      <c r="T65" s="53">
        <v>39</v>
      </c>
      <c r="U65" s="53">
        <v>39</v>
      </c>
      <c r="V65" s="53">
        <v>40</v>
      </c>
      <c r="W65" s="53">
        <v>40</v>
      </c>
      <c r="X65" s="53">
        <v>40</v>
      </c>
      <c r="Y65" s="53">
        <v>40</v>
      </c>
      <c r="Z65" s="53">
        <v>34</v>
      </c>
      <c r="AA65" s="53">
        <v>39</v>
      </c>
      <c r="AB65" s="53">
        <v>38</v>
      </c>
      <c r="AC65" s="54">
        <v>26</v>
      </c>
      <c r="AD65" s="46"/>
      <c r="AE65" s="46"/>
      <c r="AF65" s="137"/>
      <c r="AG65" s="172" t="s">
        <v>15</v>
      </c>
      <c r="AH65" s="173"/>
      <c r="AI65" s="173"/>
      <c r="AJ65" s="173"/>
      <c r="AK65" s="173"/>
      <c r="AL65" s="174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93"/>
      <c r="CC65" s="46"/>
    </row>
    <row r="66" spans="1:81" ht="21" customHeight="1" x14ac:dyDescent="0.25">
      <c r="B66" s="46"/>
      <c r="C66" s="46"/>
      <c r="D66" s="46"/>
      <c r="E66" s="46"/>
      <c r="F66" s="46"/>
      <c r="G66" s="46"/>
      <c r="H66" s="46"/>
      <c r="I66" s="46"/>
      <c r="J66" s="58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9"/>
      <c r="AG66" s="172" t="s">
        <v>17</v>
      </c>
      <c r="AH66" s="173"/>
      <c r="AI66" s="173"/>
      <c r="AJ66" s="173"/>
      <c r="AK66" s="173"/>
      <c r="AL66" s="174"/>
      <c r="AM66" s="46"/>
      <c r="AN66" s="46"/>
      <c r="AO66" s="46"/>
      <c r="AP66" s="46"/>
      <c r="AQ66" s="142"/>
      <c r="AR66" s="172" t="s">
        <v>62</v>
      </c>
      <c r="AS66" s="173"/>
      <c r="AT66" s="173"/>
      <c r="AU66" s="173"/>
      <c r="AV66" s="173"/>
      <c r="AW66" s="174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C66" s="46"/>
    </row>
    <row r="67" spans="1:81" ht="21" customHeight="1" x14ac:dyDescent="0.25">
      <c r="B67" s="46"/>
      <c r="C67" s="46"/>
      <c r="D67" s="46"/>
      <c r="E67" s="46"/>
      <c r="F67" s="46"/>
      <c r="G67" s="46"/>
      <c r="H67" s="58"/>
      <c r="I67" s="58"/>
      <c r="J67" s="58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138"/>
      <c r="AG67" s="172" t="s">
        <v>16</v>
      </c>
      <c r="AH67" s="173"/>
      <c r="AI67" s="173"/>
      <c r="AJ67" s="173"/>
      <c r="AK67" s="173"/>
      <c r="AL67" s="174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C67" s="46"/>
    </row>
    <row r="68" spans="1:81" ht="26.25" customHeight="1" x14ac:dyDescent="0.25"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139"/>
      <c r="AG68" s="172" t="s">
        <v>60</v>
      </c>
      <c r="AH68" s="173"/>
      <c r="AI68" s="173"/>
      <c r="AJ68" s="173"/>
      <c r="AK68" s="173"/>
      <c r="AL68" s="174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C68" s="46"/>
    </row>
  </sheetData>
  <mergeCells count="170">
    <mergeCell ref="AT5:AT60"/>
    <mergeCell ref="AR64:AW64"/>
    <mergeCell ref="AR66:AW66"/>
    <mergeCell ref="H46:H48"/>
    <mergeCell ref="F43:F45"/>
    <mergeCell ref="G43:G45"/>
    <mergeCell ref="H43:H45"/>
    <mergeCell ref="D27:D29"/>
    <mergeCell ref="E27:E29"/>
    <mergeCell ref="F27:F29"/>
    <mergeCell ref="G27:G29"/>
    <mergeCell ref="H27:H29"/>
    <mergeCell ref="G37:G39"/>
    <mergeCell ref="G31:G33"/>
    <mergeCell ref="D31:D33"/>
    <mergeCell ref="E31:E33"/>
    <mergeCell ref="E43:E45"/>
    <mergeCell ref="F31:F33"/>
    <mergeCell ref="D46:D48"/>
    <mergeCell ref="E46:E48"/>
    <mergeCell ref="E40:E42"/>
    <mergeCell ref="E34:E36"/>
    <mergeCell ref="AG64:AL64"/>
    <mergeCell ref="H55:H57"/>
    <mergeCell ref="D52:D54"/>
    <mergeCell ref="G21:G23"/>
    <mergeCell ref="G24:G26"/>
    <mergeCell ref="AL1:BD1"/>
    <mergeCell ref="F49:F51"/>
    <mergeCell ref="G49:G51"/>
    <mergeCell ref="H49:H51"/>
    <mergeCell ref="F34:F36"/>
    <mergeCell ref="G34:G36"/>
    <mergeCell ref="G12:G14"/>
    <mergeCell ref="H12:H14"/>
    <mergeCell ref="B2:I2"/>
    <mergeCell ref="H9:H11"/>
    <mergeCell ref="F40:F42"/>
    <mergeCell ref="D37:D39"/>
    <mergeCell ref="E37:E39"/>
    <mergeCell ref="F37:F39"/>
    <mergeCell ref="B18:B20"/>
    <mergeCell ref="B21:B23"/>
    <mergeCell ref="C18:C20"/>
    <mergeCell ref="C37:C39"/>
    <mergeCell ref="H37:H39"/>
    <mergeCell ref="H40:H42"/>
    <mergeCell ref="F46:F48"/>
    <mergeCell ref="G46:G48"/>
    <mergeCell ref="H15:H17"/>
    <mergeCell ref="C27:C29"/>
    <mergeCell ref="A58:A60"/>
    <mergeCell ref="C58:C60"/>
    <mergeCell ref="D58:D60"/>
    <mergeCell ref="E58:E60"/>
    <mergeCell ref="F58:F60"/>
    <mergeCell ref="G58:G60"/>
    <mergeCell ref="H58:H60"/>
    <mergeCell ref="A55:A57"/>
    <mergeCell ref="C55:C57"/>
    <mergeCell ref="E55:E57"/>
    <mergeCell ref="B55:B57"/>
    <mergeCell ref="B43:B45"/>
    <mergeCell ref="B46:B48"/>
    <mergeCell ref="B49:B51"/>
    <mergeCell ref="B52:B54"/>
    <mergeCell ref="E49:E51"/>
    <mergeCell ref="C43:C45"/>
    <mergeCell ref="D43:D45"/>
    <mergeCell ref="G18:G20"/>
    <mergeCell ref="H18:H20"/>
    <mergeCell ref="H21:H23"/>
    <mergeCell ref="C46:C48"/>
    <mergeCell ref="E52:E54"/>
    <mergeCell ref="F52:F54"/>
    <mergeCell ref="G52:G54"/>
    <mergeCell ref="H52:H54"/>
    <mergeCell ref="D55:D57"/>
    <mergeCell ref="F55:F57"/>
    <mergeCell ref="G55:G57"/>
    <mergeCell ref="C49:C51"/>
    <mergeCell ref="D49:D51"/>
    <mergeCell ref="A43:A45"/>
    <mergeCell ref="A46:A48"/>
    <mergeCell ref="C52:C54"/>
    <mergeCell ref="A34:A36"/>
    <mergeCell ref="A37:A39"/>
    <mergeCell ref="A40:A42"/>
    <mergeCell ref="C40:C42"/>
    <mergeCell ref="D40:D42"/>
    <mergeCell ref="A49:A51"/>
    <mergeCell ref="A52:A54"/>
    <mergeCell ref="B37:B39"/>
    <mergeCell ref="B34:B36"/>
    <mergeCell ref="C34:C36"/>
    <mergeCell ref="D34:D36"/>
    <mergeCell ref="A31:A33"/>
    <mergeCell ref="F15:F17"/>
    <mergeCell ref="G15:G17"/>
    <mergeCell ref="A18:A20"/>
    <mergeCell ref="A21:A23"/>
    <mergeCell ref="A24:A26"/>
    <mergeCell ref="C21:C23"/>
    <mergeCell ref="C24:C26"/>
    <mergeCell ref="D18:D20"/>
    <mergeCell ref="D21:D23"/>
    <mergeCell ref="D24:D26"/>
    <mergeCell ref="E18:E20"/>
    <mergeCell ref="E21:E23"/>
    <mergeCell ref="E24:E26"/>
    <mergeCell ref="F18:F20"/>
    <mergeCell ref="F21:F23"/>
    <mergeCell ref="A27:A29"/>
    <mergeCell ref="A15:A17"/>
    <mergeCell ref="F24:F26"/>
    <mergeCell ref="B24:B26"/>
    <mergeCell ref="C15:C17"/>
    <mergeCell ref="D15:D17"/>
    <mergeCell ref="E15:E17"/>
    <mergeCell ref="B15:B17"/>
    <mergeCell ref="AG65:AL65"/>
    <mergeCell ref="AG66:AL66"/>
    <mergeCell ref="AG68:AL68"/>
    <mergeCell ref="AG67:AL67"/>
    <mergeCell ref="J2:BB2"/>
    <mergeCell ref="F62:H62"/>
    <mergeCell ref="B5:B7"/>
    <mergeCell ref="B9:B11"/>
    <mergeCell ref="E5:E7"/>
    <mergeCell ref="F5:F7"/>
    <mergeCell ref="G5:G7"/>
    <mergeCell ref="H5:H7"/>
    <mergeCell ref="E9:E11"/>
    <mergeCell ref="F9:F11"/>
    <mergeCell ref="G9:G11"/>
    <mergeCell ref="B31:B33"/>
    <mergeCell ref="C31:C33"/>
    <mergeCell ref="H31:H33"/>
    <mergeCell ref="B58:B60"/>
    <mergeCell ref="B40:B42"/>
    <mergeCell ref="G40:G42"/>
    <mergeCell ref="C12:C14"/>
    <mergeCell ref="H24:H26"/>
    <mergeCell ref="H34:H36"/>
    <mergeCell ref="CB55:CB61"/>
    <mergeCell ref="CB52:CB54"/>
    <mergeCell ref="CB49:CB51"/>
    <mergeCell ref="CB46:CB48"/>
    <mergeCell ref="CB43:CB45"/>
    <mergeCell ref="CB40:CB42"/>
    <mergeCell ref="CB37:CB39"/>
    <mergeCell ref="CB34:CB36"/>
    <mergeCell ref="CB5:CB7"/>
    <mergeCell ref="CB9:CB11"/>
    <mergeCell ref="CB12:CB14"/>
    <mergeCell ref="CB15:CB17"/>
    <mergeCell ref="CB27:CB29"/>
    <mergeCell ref="CB31:CB33"/>
    <mergeCell ref="B27:B29"/>
    <mergeCell ref="F12:F14"/>
    <mergeCell ref="D12:D14"/>
    <mergeCell ref="E12:E14"/>
    <mergeCell ref="A5:A7"/>
    <mergeCell ref="A9:A11"/>
    <mergeCell ref="C5:C7"/>
    <mergeCell ref="D5:D7"/>
    <mergeCell ref="C9:C11"/>
    <mergeCell ref="D9:D11"/>
    <mergeCell ref="A12:A14"/>
    <mergeCell ref="B12:B14"/>
  </mergeCells>
  <pageMargins left="0.51181102362204722" right="0.11811023622047245" top="0.74803149606299213" bottom="0.74803149606299213" header="0.31496062992125984" footer="0.31496062992125984"/>
  <pageSetup paperSize="9" pageOrder="overThenDown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5"/>
  <sheetViews>
    <sheetView workbookViewId="0">
      <pane xSplit="7" ySplit="1" topLeftCell="T2" activePane="bottomRight" state="frozen"/>
      <selection pane="topRight" activeCell="H1" sqref="H1"/>
      <selection pane="bottomLeft" activeCell="A2" sqref="A2"/>
      <selection pane="bottomRight" activeCell="B15" sqref="B15"/>
    </sheetView>
  </sheetViews>
  <sheetFormatPr defaultRowHeight="15" x14ac:dyDescent="0.25"/>
  <cols>
    <col min="1" max="1" width="2.85546875" customWidth="1"/>
    <col min="2" max="2" width="39.140625" customWidth="1"/>
    <col min="3" max="3" width="4.5703125" customWidth="1"/>
    <col min="4" max="4" width="6.28515625" customWidth="1"/>
    <col min="5" max="6" width="5.28515625" customWidth="1"/>
    <col min="7" max="7" width="4.7109375" customWidth="1"/>
    <col min="8" max="8" width="5.28515625" customWidth="1"/>
    <col min="9" max="50" width="4.28515625" customWidth="1"/>
    <col min="51" max="51" width="6.28515625" customWidth="1"/>
    <col min="52" max="60" width="4.28515625" customWidth="1"/>
    <col min="61" max="61" width="6.42578125" customWidth="1"/>
  </cols>
  <sheetData>
    <row r="1" spans="1:61" ht="15.75" x14ac:dyDescent="0.25">
      <c r="A1" s="7"/>
      <c r="C1" s="7"/>
      <c r="D1" s="7"/>
      <c r="E1" s="7"/>
      <c r="F1" s="7"/>
      <c r="G1" s="7"/>
      <c r="H1" s="7"/>
      <c r="I1" s="7"/>
      <c r="J1" s="1"/>
      <c r="K1" s="1"/>
      <c r="L1" s="1"/>
      <c r="M1" s="1"/>
      <c r="N1" s="1"/>
      <c r="O1" s="1"/>
      <c r="P1" s="1"/>
      <c r="Q1" s="1"/>
      <c r="R1" s="1"/>
      <c r="S1" s="229" t="s">
        <v>0</v>
      </c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230"/>
      <c r="BE1" s="230"/>
      <c r="BF1" s="230"/>
      <c r="BG1" s="230"/>
      <c r="BH1" s="230"/>
      <c r="BI1" s="230"/>
    </row>
    <row r="2" spans="1:61" ht="66.75" customHeight="1" x14ac:dyDescent="0.25">
      <c r="A2" s="10"/>
      <c r="B2" s="12" t="s">
        <v>7</v>
      </c>
      <c r="C2" s="19" t="s">
        <v>1</v>
      </c>
      <c r="D2" s="19" t="s">
        <v>2</v>
      </c>
      <c r="E2" s="19" t="s">
        <v>3</v>
      </c>
      <c r="F2" s="20" t="s">
        <v>8</v>
      </c>
      <c r="G2" s="19" t="s">
        <v>4</v>
      </c>
      <c r="H2" s="20" t="s">
        <v>5</v>
      </c>
      <c r="I2" s="18">
        <v>1</v>
      </c>
      <c r="J2" s="18">
        <v>2</v>
      </c>
      <c r="K2" s="18">
        <v>3</v>
      </c>
      <c r="L2" s="18">
        <v>4</v>
      </c>
      <c r="M2" s="18">
        <v>5</v>
      </c>
      <c r="N2" s="18">
        <v>6</v>
      </c>
      <c r="O2" s="18">
        <v>7</v>
      </c>
      <c r="P2" s="18">
        <v>8</v>
      </c>
      <c r="Q2" s="18">
        <v>9</v>
      </c>
      <c r="R2" s="18">
        <v>10</v>
      </c>
      <c r="S2" s="18">
        <v>11</v>
      </c>
      <c r="T2" s="18">
        <v>12</v>
      </c>
      <c r="U2" s="18">
        <v>13</v>
      </c>
      <c r="V2" s="18">
        <v>14</v>
      </c>
      <c r="W2" s="18">
        <v>15</v>
      </c>
      <c r="X2" s="18">
        <v>16</v>
      </c>
      <c r="Y2" s="18">
        <v>17</v>
      </c>
      <c r="Z2" s="18">
        <v>18</v>
      </c>
      <c r="AA2" s="18">
        <v>19</v>
      </c>
      <c r="AB2" s="18">
        <v>20</v>
      </c>
      <c r="AC2" s="18">
        <v>21</v>
      </c>
      <c r="AD2" s="18">
        <v>22</v>
      </c>
      <c r="AE2" s="18">
        <v>23</v>
      </c>
      <c r="AF2" s="18">
        <v>24</v>
      </c>
      <c r="AG2" s="18">
        <v>25</v>
      </c>
      <c r="AH2" s="18">
        <v>26</v>
      </c>
      <c r="AI2" s="18">
        <v>27</v>
      </c>
      <c r="AJ2" s="18">
        <v>28</v>
      </c>
      <c r="AK2" s="18">
        <v>29</v>
      </c>
      <c r="AL2" s="18">
        <v>30</v>
      </c>
      <c r="AM2" s="18">
        <v>31</v>
      </c>
      <c r="AN2" s="18">
        <v>32</v>
      </c>
      <c r="AO2" s="18">
        <v>33</v>
      </c>
      <c r="AP2" s="18">
        <v>34</v>
      </c>
      <c r="AQ2" s="18">
        <v>35</v>
      </c>
      <c r="AR2" s="18">
        <v>36</v>
      </c>
      <c r="AS2" s="18">
        <v>37</v>
      </c>
      <c r="AT2" s="18">
        <v>38</v>
      </c>
      <c r="AU2" s="18">
        <v>39</v>
      </c>
      <c r="AV2" s="18">
        <v>40</v>
      </c>
      <c r="AW2" s="18">
        <v>41</v>
      </c>
      <c r="AX2" s="18">
        <v>42</v>
      </c>
      <c r="AY2" s="14" t="s">
        <v>3</v>
      </c>
    </row>
    <row r="3" spans="1:61" ht="15" customHeight="1" x14ac:dyDescent="0.25">
      <c r="A3" s="10"/>
      <c r="B3" s="30" t="s">
        <v>9</v>
      </c>
      <c r="C3" s="19"/>
      <c r="D3" s="19"/>
      <c r="E3" s="19"/>
      <c r="F3" s="20"/>
      <c r="G3" s="19"/>
      <c r="H3" s="20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9"/>
      <c r="AY3" s="14"/>
    </row>
    <row r="4" spans="1:61" x14ac:dyDescent="0.25">
      <c r="A4" s="10">
        <v>1</v>
      </c>
      <c r="B4" s="13"/>
      <c r="C4" s="21"/>
      <c r="D4" s="21"/>
      <c r="E4" s="21"/>
      <c r="F4" s="31"/>
      <c r="G4" s="31"/>
      <c r="H4" s="31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5"/>
      <c r="AY4" s="10">
        <f>SUM(I4:AX4)</f>
        <v>0</v>
      </c>
    </row>
    <row r="5" spans="1:61" ht="15.75" thickBot="1" x14ac:dyDescent="0.3">
      <c r="A5" s="10">
        <v>2</v>
      </c>
      <c r="B5" s="32"/>
      <c r="C5" s="17"/>
      <c r="D5" s="17"/>
      <c r="E5" s="17"/>
      <c r="F5" s="33"/>
      <c r="G5" s="33"/>
      <c r="H5" s="33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10">
        <f>SUM(I5:AX5)</f>
        <v>0</v>
      </c>
    </row>
    <row r="6" spans="1:61" ht="15.75" thickBot="1" x14ac:dyDescent="0.3">
      <c r="A6" s="10">
        <v>3</v>
      </c>
      <c r="B6" s="34"/>
      <c r="C6" s="17"/>
      <c r="D6" s="17"/>
      <c r="E6" s="17"/>
      <c r="F6" s="35"/>
      <c r="G6" s="35"/>
      <c r="H6" s="35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10">
        <f>SUM(I6:AX6)</f>
        <v>0</v>
      </c>
    </row>
    <row r="7" spans="1:61" ht="15.75" thickBot="1" x14ac:dyDescent="0.3">
      <c r="A7" s="10">
        <v>4</v>
      </c>
      <c r="B7" s="36"/>
      <c r="C7" s="17"/>
      <c r="D7" s="17"/>
      <c r="E7" s="17"/>
      <c r="F7" s="33"/>
      <c r="G7" s="33"/>
      <c r="H7" s="33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3"/>
      <c r="V7" s="3"/>
      <c r="W7" s="3"/>
      <c r="X7" s="3"/>
      <c r="Y7" s="3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3"/>
      <c r="AV7" s="3"/>
      <c r="AW7" s="3"/>
      <c r="AX7" s="3"/>
      <c r="AY7" s="10">
        <f>SUM(Z7:AX7)</f>
        <v>0</v>
      </c>
    </row>
    <row r="8" spans="1:61" ht="15.75" thickBot="1" x14ac:dyDescent="0.3">
      <c r="A8" s="10">
        <v>5</v>
      </c>
      <c r="B8" s="32"/>
      <c r="C8" s="17"/>
      <c r="D8" s="18"/>
      <c r="E8" s="17"/>
      <c r="F8" s="35"/>
      <c r="G8" s="35"/>
      <c r="H8" s="35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3"/>
      <c r="V8" s="3"/>
      <c r="W8" s="3"/>
      <c r="X8" s="3"/>
      <c r="Y8" s="3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3"/>
      <c r="AV8" s="3"/>
      <c r="AW8" s="3"/>
      <c r="AX8" s="3"/>
      <c r="AY8" s="10">
        <f>SUM(I8:AX8)</f>
        <v>0</v>
      </c>
    </row>
    <row r="9" spans="1:61" ht="15.75" thickBot="1" x14ac:dyDescent="0.3">
      <c r="A9" s="10">
        <v>6</v>
      </c>
      <c r="B9" s="13"/>
      <c r="C9" s="17"/>
      <c r="D9" s="17"/>
      <c r="E9" s="17"/>
      <c r="F9" s="33"/>
      <c r="G9" s="33"/>
      <c r="H9" s="33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8"/>
      <c r="V9" s="8"/>
      <c r="W9" s="8"/>
      <c r="X9" s="8"/>
      <c r="Y9" s="8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8"/>
      <c r="AV9" s="8"/>
      <c r="AW9" s="3"/>
      <c r="AX9" s="3"/>
      <c r="AY9" s="10">
        <f>SUM(I9:AX9)</f>
        <v>0</v>
      </c>
    </row>
    <row r="10" spans="1:61" ht="15.75" thickBot="1" x14ac:dyDescent="0.3">
      <c r="A10" s="10"/>
      <c r="B10" s="13"/>
      <c r="C10" s="17"/>
      <c r="D10" s="17"/>
      <c r="E10" s="17"/>
      <c r="F10" s="33"/>
      <c r="G10" s="33"/>
      <c r="H10" s="33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8"/>
      <c r="V10" s="8"/>
      <c r="W10" s="8"/>
      <c r="X10" s="8"/>
      <c r="Y10" s="8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8"/>
      <c r="AV10" s="8"/>
      <c r="AW10" s="3"/>
      <c r="AX10" s="3"/>
      <c r="AY10" s="10"/>
    </row>
    <row r="11" spans="1:61" ht="19.5" customHeight="1" thickBot="1" x14ac:dyDescent="0.3">
      <c r="A11" s="10"/>
      <c r="B11" s="30"/>
      <c r="C11" s="17"/>
      <c r="D11" s="17"/>
      <c r="E11" s="17"/>
      <c r="F11" s="33"/>
      <c r="G11" s="33"/>
      <c r="H11" s="33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8"/>
      <c r="V11" s="8"/>
      <c r="W11" s="8"/>
      <c r="X11" s="8"/>
      <c r="Y11" s="8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8"/>
      <c r="AV11" s="8"/>
      <c r="AW11" s="3"/>
      <c r="AX11" s="3"/>
      <c r="AY11" s="10"/>
    </row>
    <row r="12" spans="1:61" ht="15.75" thickBot="1" x14ac:dyDescent="0.3">
      <c r="A12" s="10"/>
      <c r="B12" s="37"/>
      <c r="C12" s="17"/>
      <c r="D12" s="17"/>
      <c r="E12" s="17"/>
      <c r="F12" s="35"/>
      <c r="G12" s="35"/>
      <c r="H12" s="35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24"/>
      <c r="AU12" s="3"/>
      <c r="AV12" s="3"/>
      <c r="AW12" s="3"/>
      <c r="AX12" s="3"/>
      <c r="AY12" s="10">
        <f>SUM(I12:AX12)</f>
        <v>0</v>
      </c>
    </row>
    <row r="13" spans="1:61" ht="15.75" thickBot="1" x14ac:dyDescent="0.3">
      <c r="A13" s="10"/>
      <c r="B13" s="38"/>
      <c r="C13" s="17"/>
      <c r="D13" s="17"/>
      <c r="E13" s="17"/>
      <c r="F13" s="39"/>
      <c r="G13" s="40"/>
      <c r="H13" s="40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24"/>
      <c r="AU13" s="3"/>
      <c r="AV13" s="3"/>
      <c r="AW13" s="3"/>
      <c r="AX13" s="3"/>
      <c r="AY13" s="10">
        <f>SUM(I13:AX13)</f>
        <v>0</v>
      </c>
    </row>
    <row r="14" spans="1:61" ht="15.75" thickBot="1" x14ac:dyDescent="0.3">
      <c r="A14" s="10"/>
      <c r="B14" s="37"/>
      <c r="C14" s="17"/>
      <c r="D14" s="17"/>
      <c r="E14" s="17"/>
      <c r="F14" s="35"/>
      <c r="G14" s="35"/>
      <c r="H14" s="35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24"/>
      <c r="AU14" s="3"/>
      <c r="AV14" s="3"/>
      <c r="AW14" s="3"/>
      <c r="AX14" s="3"/>
      <c r="AY14" s="10">
        <f t="shared" ref="AY14:AY20" si="0">SUM(I14:AX14)</f>
        <v>0</v>
      </c>
    </row>
    <row r="15" spans="1:61" ht="15.75" thickBot="1" x14ac:dyDescent="0.3">
      <c r="A15" s="10"/>
      <c r="B15" s="41"/>
      <c r="C15" s="17"/>
      <c r="D15" s="17"/>
      <c r="E15" s="17"/>
      <c r="F15" s="35"/>
      <c r="G15" s="35"/>
      <c r="H15" s="35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6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24"/>
      <c r="AU15" s="3"/>
      <c r="AV15" s="3"/>
      <c r="AW15" s="3"/>
      <c r="AX15" s="3"/>
      <c r="AY15" s="10"/>
    </row>
    <row r="16" spans="1:61" ht="15.75" thickBot="1" x14ac:dyDescent="0.3">
      <c r="A16" s="10"/>
      <c r="B16" s="38"/>
      <c r="C16" s="17"/>
      <c r="D16" s="17"/>
      <c r="E16" s="17"/>
      <c r="F16" s="35"/>
      <c r="G16" s="35"/>
      <c r="H16" s="3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26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3"/>
      <c r="AX16" s="3"/>
      <c r="AY16" s="10">
        <f t="shared" si="0"/>
        <v>0</v>
      </c>
    </row>
    <row r="17" spans="1:51" ht="15.75" thickBot="1" x14ac:dyDescent="0.3">
      <c r="A17" s="10"/>
      <c r="B17" s="42"/>
      <c r="C17" s="17"/>
      <c r="D17" s="17"/>
      <c r="E17" s="17"/>
      <c r="F17" s="35"/>
      <c r="G17" s="35"/>
      <c r="H17" s="35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3"/>
      <c r="AX17" s="3"/>
      <c r="AY17" s="10">
        <f t="shared" si="0"/>
        <v>0</v>
      </c>
    </row>
    <row r="18" spans="1:51" ht="15.75" thickBot="1" x14ac:dyDescent="0.3">
      <c r="A18" s="10"/>
      <c r="B18" s="43"/>
      <c r="C18" s="17"/>
      <c r="D18" s="17"/>
      <c r="E18" s="17"/>
      <c r="F18" s="35"/>
      <c r="G18" s="35"/>
      <c r="H18" s="3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25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3"/>
      <c r="AY18" s="10">
        <f t="shared" si="0"/>
        <v>0</v>
      </c>
    </row>
    <row r="19" spans="1:51" ht="15.75" thickBot="1" x14ac:dyDescent="0.3">
      <c r="A19" s="10"/>
      <c r="B19" s="44"/>
      <c r="C19" s="17"/>
      <c r="D19" s="17"/>
      <c r="E19" s="17"/>
      <c r="F19" s="40"/>
      <c r="G19" s="35"/>
      <c r="H19" s="4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3"/>
      <c r="AX19" s="3"/>
      <c r="AY19" s="10">
        <f t="shared" si="0"/>
        <v>0</v>
      </c>
    </row>
    <row r="20" spans="1:51" ht="15.75" thickBot="1" x14ac:dyDescent="0.3">
      <c r="A20" s="10"/>
      <c r="B20" s="13"/>
      <c r="C20" s="17"/>
      <c r="D20" s="17"/>
      <c r="E20" s="17"/>
      <c r="F20" s="35"/>
      <c r="G20" s="35"/>
      <c r="H20" s="3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3"/>
      <c r="AV20" s="3"/>
      <c r="AW20" s="3"/>
      <c r="AX20" s="3"/>
      <c r="AY20" s="10">
        <f t="shared" si="0"/>
        <v>0</v>
      </c>
    </row>
    <row r="21" spans="1:51" x14ac:dyDescent="0.25">
      <c r="A21" s="10"/>
      <c r="B21" s="15"/>
      <c r="C21" s="15"/>
      <c r="D21" s="15"/>
      <c r="E21" s="15"/>
      <c r="F21" s="15"/>
      <c r="G21" s="15"/>
      <c r="H21" s="15"/>
      <c r="I21" s="2">
        <f t="shared" ref="I21:AS21" si="1">SUM(I4:I20)</f>
        <v>0</v>
      </c>
      <c r="J21" s="2">
        <f t="shared" si="1"/>
        <v>0</v>
      </c>
      <c r="K21" s="2">
        <f t="shared" si="1"/>
        <v>0</v>
      </c>
      <c r="L21" s="2">
        <f t="shared" si="1"/>
        <v>0</v>
      </c>
      <c r="M21" s="2">
        <f t="shared" si="1"/>
        <v>0</v>
      </c>
      <c r="N21" s="2">
        <f t="shared" si="1"/>
        <v>0</v>
      </c>
      <c r="O21" s="2">
        <f t="shared" si="1"/>
        <v>0</v>
      </c>
      <c r="P21" s="2">
        <f t="shared" si="1"/>
        <v>0</v>
      </c>
      <c r="Q21" s="2">
        <f t="shared" si="1"/>
        <v>0</v>
      </c>
      <c r="R21" s="2">
        <f t="shared" si="1"/>
        <v>0</v>
      </c>
      <c r="S21" s="2">
        <f t="shared" si="1"/>
        <v>0</v>
      </c>
      <c r="T21" s="4">
        <f t="shared" si="1"/>
        <v>0</v>
      </c>
      <c r="U21" s="2">
        <f t="shared" si="1"/>
        <v>0</v>
      </c>
      <c r="V21" s="2">
        <f t="shared" si="1"/>
        <v>0</v>
      </c>
      <c r="W21" s="2">
        <f t="shared" si="1"/>
        <v>0</v>
      </c>
      <c r="X21" s="2">
        <f t="shared" si="1"/>
        <v>0</v>
      </c>
      <c r="Y21" s="2">
        <f t="shared" si="1"/>
        <v>0</v>
      </c>
      <c r="Z21" s="2">
        <f t="shared" si="1"/>
        <v>0</v>
      </c>
      <c r="AA21" s="2">
        <f t="shared" si="1"/>
        <v>0</v>
      </c>
      <c r="AB21" s="9">
        <f t="shared" si="1"/>
        <v>0</v>
      </c>
      <c r="AC21" s="9">
        <f t="shared" si="1"/>
        <v>0</v>
      </c>
      <c r="AD21" s="2">
        <f t="shared" si="1"/>
        <v>0</v>
      </c>
      <c r="AE21" s="2">
        <f t="shared" si="1"/>
        <v>0</v>
      </c>
      <c r="AF21" s="2">
        <f t="shared" si="1"/>
        <v>0</v>
      </c>
      <c r="AG21" s="2">
        <f t="shared" si="1"/>
        <v>0</v>
      </c>
      <c r="AH21" s="2">
        <f t="shared" si="1"/>
        <v>0</v>
      </c>
      <c r="AI21" s="2">
        <f t="shared" si="1"/>
        <v>0</v>
      </c>
      <c r="AJ21" s="2">
        <f t="shared" si="1"/>
        <v>0</v>
      </c>
      <c r="AK21" s="2">
        <f t="shared" si="1"/>
        <v>0</v>
      </c>
      <c r="AL21" s="2">
        <f t="shared" si="1"/>
        <v>0</v>
      </c>
      <c r="AM21" s="2">
        <f t="shared" si="1"/>
        <v>0</v>
      </c>
      <c r="AN21" s="2">
        <f t="shared" si="1"/>
        <v>0</v>
      </c>
      <c r="AO21" s="2">
        <f t="shared" si="1"/>
        <v>0</v>
      </c>
      <c r="AP21" s="2">
        <f t="shared" si="1"/>
        <v>0</v>
      </c>
      <c r="AQ21" s="2">
        <f t="shared" si="1"/>
        <v>0</v>
      </c>
      <c r="AR21" s="2">
        <f t="shared" si="1"/>
        <v>0</v>
      </c>
      <c r="AS21" s="2">
        <f t="shared" si="1"/>
        <v>0</v>
      </c>
      <c r="AT21" s="2">
        <f t="shared" ref="AT21:AY21" si="2">SUM(AT4:AT20)</f>
        <v>0</v>
      </c>
      <c r="AU21" s="2">
        <f t="shared" si="2"/>
        <v>0</v>
      </c>
      <c r="AV21" s="2">
        <f t="shared" si="2"/>
        <v>0</v>
      </c>
      <c r="AW21" s="2">
        <f t="shared" si="2"/>
        <v>0</v>
      </c>
      <c r="AX21" s="2">
        <f t="shared" si="2"/>
        <v>0</v>
      </c>
      <c r="AY21" s="10">
        <f t="shared" si="2"/>
        <v>0</v>
      </c>
    </row>
    <row r="22" spans="1:51" x14ac:dyDescent="0.25">
      <c r="A22" s="27"/>
      <c r="B22" s="11" t="s">
        <v>6</v>
      </c>
      <c r="C22" s="10"/>
      <c r="D22" s="10"/>
      <c r="E22" s="16"/>
      <c r="F22" s="231"/>
      <c r="G22" s="231"/>
      <c r="H22" s="232"/>
      <c r="I22" s="45">
        <v>1</v>
      </c>
      <c r="J22" s="45">
        <v>2</v>
      </c>
      <c r="K22" s="45">
        <v>3</v>
      </c>
      <c r="L22" s="45">
        <v>4</v>
      </c>
      <c r="M22" s="45">
        <v>5</v>
      </c>
      <c r="N22" s="45">
        <v>6</v>
      </c>
      <c r="O22" s="45">
        <v>7</v>
      </c>
      <c r="P22" s="45">
        <v>8</v>
      </c>
      <c r="Q22" s="45">
        <v>9</v>
      </c>
      <c r="R22" s="45">
        <v>10</v>
      </c>
      <c r="S22" s="45">
        <v>11</v>
      </c>
      <c r="T22" s="45">
        <v>12</v>
      </c>
      <c r="U22" s="45">
        <v>13</v>
      </c>
      <c r="V22" s="45">
        <v>14</v>
      </c>
      <c r="W22" s="45">
        <v>15</v>
      </c>
      <c r="X22" s="45">
        <v>16</v>
      </c>
      <c r="Y22" s="45">
        <v>17</v>
      </c>
      <c r="Z22" s="45">
        <v>18</v>
      </c>
      <c r="AA22" s="45">
        <v>19</v>
      </c>
      <c r="AB22" s="45">
        <v>20</v>
      </c>
      <c r="AC22" s="45">
        <v>21</v>
      </c>
      <c r="AD22" s="45">
        <v>22</v>
      </c>
      <c r="AE22" s="45">
        <v>23</v>
      </c>
      <c r="AF22" s="45">
        <v>24</v>
      </c>
      <c r="AG22" s="45">
        <v>25</v>
      </c>
      <c r="AH22" s="45">
        <v>26</v>
      </c>
      <c r="AI22" s="45">
        <v>27</v>
      </c>
      <c r="AJ22" s="45">
        <v>28</v>
      </c>
      <c r="AK22" s="45">
        <v>29</v>
      </c>
      <c r="AL22" s="45">
        <v>30</v>
      </c>
      <c r="AM22" s="45">
        <v>31</v>
      </c>
      <c r="AN22" s="45">
        <v>32</v>
      </c>
      <c r="AO22" s="45">
        <v>33</v>
      </c>
      <c r="AP22" s="45">
        <v>34</v>
      </c>
      <c r="AQ22" s="45">
        <v>35</v>
      </c>
      <c r="AR22" s="45">
        <v>36</v>
      </c>
      <c r="AS22" s="45">
        <v>37</v>
      </c>
      <c r="AT22" s="45">
        <v>38</v>
      </c>
      <c r="AU22" s="45">
        <v>39</v>
      </c>
      <c r="AV22" s="45">
        <v>40</v>
      </c>
      <c r="AW22" s="45">
        <v>41</v>
      </c>
      <c r="AX22" s="45">
        <v>42</v>
      </c>
      <c r="AY22" s="28"/>
    </row>
    <row r="23" spans="1:51" x14ac:dyDescent="0.25">
      <c r="A23" s="6"/>
    </row>
    <row r="24" spans="1:51" x14ac:dyDescent="0.25">
      <c r="A24" s="7"/>
    </row>
    <row r="25" spans="1:51" x14ac:dyDescent="0.25">
      <c r="A25" s="7"/>
    </row>
  </sheetData>
  <mergeCells count="2">
    <mergeCell ref="S1:BI1"/>
    <mergeCell ref="F22:H2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2025-02-17T13:41:07Z</dcterms:modified>
</cp:coreProperties>
</file>
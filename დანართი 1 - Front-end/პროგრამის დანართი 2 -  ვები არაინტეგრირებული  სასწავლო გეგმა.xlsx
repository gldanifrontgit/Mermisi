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975" windowHeight="7620"/>
  </bookViews>
  <sheets>
    <sheet name="Sheet1" sheetId="1" r:id="rId1"/>
    <sheet name="Sheet3" sheetId="3" r:id="rId2"/>
  </sheets>
  <calcPr calcId="152511"/>
</workbook>
</file>

<file path=xl/calcChain.xml><?xml version="1.0" encoding="utf-8"?>
<calcChain xmlns="http://schemas.openxmlformats.org/spreadsheetml/2006/main">
  <c r="BB13" i="1" l="1"/>
  <c r="BB52" i="1" l="1"/>
  <c r="BB53" i="1"/>
  <c r="AY54" i="1" l="1"/>
  <c r="AZ54" i="1"/>
  <c r="BA54" i="1"/>
  <c r="BB27" i="1" l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C54" i="1" l="1"/>
  <c r="D54" i="1"/>
  <c r="E54" i="1"/>
  <c r="F54" i="1"/>
  <c r="G54" i="1"/>
  <c r="H54" i="1"/>
  <c r="BB25" i="1" l="1"/>
  <c r="BB5" i="1"/>
  <c r="BB6" i="1"/>
  <c r="BB7" i="1"/>
  <c r="BB8" i="1"/>
  <c r="BB9" i="1"/>
  <c r="BB10" i="1"/>
  <c r="BB11" i="1"/>
  <c r="BB12" i="1"/>
  <c r="BB14" i="1"/>
  <c r="BB15" i="1"/>
  <c r="BB16" i="1"/>
  <c r="BB17" i="1"/>
  <c r="BB18" i="1"/>
  <c r="BB19" i="1"/>
  <c r="BB20" i="1"/>
  <c r="BB21" i="1"/>
  <c r="BB22" i="1"/>
  <c r="BB24" i="1"/>
  <c r="BB26" i="1"/>
  <c r="BB54" i="1" l="1"/>
  <c r="AY13" i="3"/>
  <c r="AY7" i="3"/>
  <c r="AY4" i="3"/>
  <c r="AY5" i="3"/>
  <c r="AY6" i="3"/>
  <c r="AY8" i="3"/>
  <c r="AY9" i="3"/>
  <c r="AY12" i="3"/>
  <c r="AY14" i="3"/>
  <c r="AY16" i="3"/>
  <c r="AY17" i="3"/>
  <c r="AY18" i="3"/>
  <c r="AY19" i="3"/>
  <c r="AY20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AE54" i="1"/>
  <c r="AF54" i="1"/>
  <c r="AG54" i="1"/>
  <c r="AH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C54" i="1"/>
  <c r="AD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21" i="3" l="1"/>
</calcChain>
</file>

<file path=xl/sharedStrings.xml><?xml version="1.0" encoding="utf-8"?>
<sst xmlns="http://schemas.openxmlformats.org/spreadsheetml/2006/main" count="111" uniqueCount="57">
  <si>
    <t>კვირეები</t>
  </si>
  <si>
    <t>კრედიტები</t>
  </si>
  <si>
    <t>საკონტდამოუ.გარეშე</t>
  </si>
  <si>
    <t>სულ სთ.</t>
  </si>
  <si>
    <t>დამოუკი</t>
  </si>
  <si>
    <t>შეფასება</t>
  </si>
  <si>
    <t>სულ კრედიტები</t>
  </si>
  <si>
    <t>მოდულის დასახელება და კოდი</t>
  </si>
  <si>
    <t>საკონტაქტო</t>
  </si>
  <si>
    <t>ზოგადი მოდულები</t>
  </si>
  <si>
    <t>საკონტ. დამოუკიდ. გარეშე</t>
  </si>
  <si>
    <t>ქართული ენა  A2 0110001</t>
  </si>
  <si>
    <t xml:space="preserve"> ზოგადი მოდულები</t>
  </si>
  <si>
    <t xml:space="preserve"> პროფესიული მოდულები</t>
  </si>
  <si>
    <t>ქართული ენა B1 0110002</t>
  </si>
  <si>
    <t>მეორე   ეტაპის მოდულ.</t>
  </si>
  <si>
    <t>მეოთხე   ეტაპის მოდულ.</t>
  </si>
  <si>
    <t>მესამე   ეტაპის მოდულ.</t>
  </si>
  <si>
    <t>პირველი   ეტაპის მოდულ.</t>
  </si>
  <si>
    <t>მოდულის დასახელება და სარეგისტრაციო ნომერი</t>
  </si>
  <si>
    <t>სულ:</t>
  </si>
  <si>
    <t>ს.შ 1,2,3 მე-20 კვირის ბოლო 2 საათი და 21-ე კვირის 4 საათი, ს.შ 4 დადასტურდება 28-ე კვირაში ბოლო 2 საათი.</t>
  </si>
  <si>
    <t>ს.შ 1 მე-7 კვირას პირველი 2 საათი, ს.შ 2 მე-11 კვირის ბოლო 1 საათი და მე-12 კვირის პირველი საათი, ს.შ 3 მე-16 კვირის ბოლო 1 საათი, ს.შ 4 მე-19 კვირის ბოლო 1 საათი, ს.შ 5 23-ე კვირას 1 საათი.</t>
  </si>
  <si>
    <t>ს.შ 1 21-ე კვირას 1 საათი, ს.შ 2 36-ე კვირას 1 საათ, ს.შ 3 44-ე კვირას ბოლო 1 საათი.</t>
  </si>
  <si>
    <t>ს.შ 1 34-ე კვირას 1 საათი (პირველ საათზე), ს.შ 2 41-ე კვირას 1 საათი (პირველ საათზე), ს.შ 3 44-ე კვირას 1 საათი (მე-5 საათზე), ს.შ 4 44-ე კვირას ბოლო 1 საათი.</t>
  </si>
  <si>
    <t>ყველა სწავლის შედეგი დადასტურდება 44-ე კვირას ბოლო 2 საათი.</t>
  </si>
  <si>
    <t>ს.შ 1 მე-3 კვირას 1 საათი (მე-7 საათზე), ს.შ 2  მე-7 კვირას 2 საათი (მე-2 და მე-3 საათზე), ს.შ 3 მე-9 კვირას 1 საათი (მე-7 საათზე), ს.შ 4 მე-12 კვირას 2 საათი (მე-8 და მე-9 საათზე), ს.შ 5 მე-15 კვირას 1 საათი (მე-4 საათზე), ს.შ 6 მე-16 კვირას ბოლო 1 საათი.</t>
  </si>
  <si>
    <t>ს.შ 1,2,3 36-ე კვირას ბოლო 3 საათი, ს.შ 4,5 43-ე კვირას ბოლო 2 საათი.</t>
  </si>
  <si>
    <t>ს.შ 1 მე-18 კვირას (მე-7 საათზე), ს.შ 2 მე-20 კვირას 1 საათი (მე-4 საათზე), ს.შ 3 22-ე კვირას 1 საათი (მე-3 საათზე), ს.შ 4  24-ე კვირას ბოლო 1 საათი, ს.შ 5 27-ე კვირას ბოლო 1 საათი.</t>
  </si>
  <si>
    <t>ს.შ 1 33-2 კვირას პირველი 2 საათი, ს.შ 2 38-ე კვირას 1 საათი (მე-3 საათზე), ს.შ 3 43-ე კვირას ბოლო 1 საათი.</t>
  </si>
  <si>
    <t>ს.შ 1 37-ე კვირას ბოლო 1 საათი და 38-ე კვირას პირველი საათი, ს.შ 2  41-ე კვირას პირველი საათი, ს.შ 3 43-ე კვირას ბოლო 1 საათი.</t>
  </si>
  <si>
    <t>ს.შ 1 მე-20 კვირას 1 საათი (მე-4 საათზე), ს.შ 2  24-ე კვირას 1 საათი (მე-4 საათზე), ს.შ 3  33-ე კვირას პირველი საათი, ს.შ 4 34-ე კვირას ბოლო 1 საათი.</t>
  </si>
  <si>
    <t>ყველა სწავლის შედეგი დადასტურდება 47-ე კვირას ბოლო 3 საათი.</t>
  </si>
  <si>
    <t>ს.შ 1 30-ე კვირას 1 საათი (მე-3 საათზე), ს.შ 2 33-ე კვირას ბოლო 1 საათი, ს.შ 44-ე კვირას ბოლო 2 საათი.</t>
  </si>
  <si>
    <t>ს.შ 1 მე-2 კვირას 1 საათი (მე-8 საათზე), ს.შ 2  მე-4 კვირას 2 საათი (მე-3, მე-4 საათზე), ს.შ 3 მე-5 კვირას 1 საათი (მე-11 საათზე), ს.შ 4 მე-9 კვირას 2 საათი (მე-2 და მე-3 საათზე), ს.შ 5 მე-14 კვირას 3 საათი (მე-8, მე-9, მე-10 საათზე), ს.შ 6 მე-15 კვირას ბოლო 1 საათი.</t>
  </si>
  <si>
    <t>ს.შ 1 25-ე კვირას 1 საათი (პირველ საათზე), ს.შ 2 28-ე კვირას 3 საათი (მე-2, მე-3, მე-4 საათზე), ს.შ 3 35-ე კვირას 2 საათი (მე-2 და მე-3 სათზე), ს.შ 4 43-ე კვირას ბოლო 1 საათი.</t>
  </si>
  <si>
    <t>საათები</t>
  </si>
  <si>
    <t>საკ.</t>
  </si>
  <si>
    <t>შეფ.</t>
  </si>
  <si>
    <t>დამ.</t>
  </si>
  <si>
    <t>უცხოური ენა - ინგლისური 11.00.1</t>
  </si>
  <si>
    <t>პიროვნული უნარები და ინტერპერსონალური კომუნიკაციები 11.00.4</t>
  </si>
  <si>
    <t>მეწარმეობა 11.00.6</t>
  </si>
  <si>
    <t>ვებ გვერდის მარკირება და სტილებით გაფორმება 06.1.1.1</t>
  </si>
  <si>
    <t>ვებ გვერდის სტილიზაცია Sass/scss პრე პროცესორის და Tailwind ფრეიმვორკის გამოყენებით  06.1.1.2</t>
  </si>
  <si>
    <t>ვებგვერდის ინტერაქტიულობისა და ეფექტების შექმნა JavaScript-ის საშუალებით 06.1.1.3</t>
  </si>
  <si>
    <t>დინამიური ვებგვერდის  შექმნა typescript-ის საშუალებით 06.1.1.4</t>
  </si>
  <si>
    <t>ვებგვერდის ინტერაქტიულობისა და ეფექტების შემუშავება React-ის საშუალებით 06.1.1.5</t>
  </si>
  <si>
    <t>ვებ გვერდის ოპტიმიზაცია 06.1.1.6</t>
  </si>
  <si>
    <t>ვერსიების კონტროლი Git ტექნოლოგიის გამოყენებით 06.1.1.7</t>
  </si>
  <si>
    <t>დარგობრივი ინგლისური ენა Front-end დეველოპმენტისთვის 06.1.1.8</t>
  </si>
  <si>
    <t>ხელოვნური ინტელექტის გამოყენება 06.1.1.10</t>
  </si>
  <si>
    <t>პრაქტიკული პროექტი 06.1.1.9</t>
  </si>
  <si>
    <t>პროგრამა:  Front-end დეველოპმენტი, მეოთხე დონე (არაინტეგრირებული)</t>
  </si>
  <si>
    <t xml:space="preserve">პროგრამის დანართი № 2 - სასწავლო გეგმა </t>
  </si>
  <si>
    <t>მეხუთე ეტაპის მოდულ.</t>
  </si>
  <si>
    <t>შუალედური შეფასება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</si>
</sst>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Sylfaen"/>
      <family val="1"/>
      <charset val="204"/>
    </font>
    <font>
      <sz val="10"/>
      <color theme="1"/>
      <name val="Sylfaen"/>
      <family val="1"/>
      <charset val="204"/>
    </font>
    <font>
      <sz val="9"/>
      <color theme="1"/>
      <name val="Sylfaen"/>
      <family val="1"/>
      <charset val="204"/>
    </font>
    <font>
      <sz val="9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Sylfaen"/>
      <family val="1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9"/>
      <name val="Calibri"/>
      <family val="2"/>
      <scheme val="minor"/>
    </font>
    <font>
      <b/>
      <sz val="9"/>
      <color theme="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Sylfaen"/>
      <family val="1"/>
    </font>
    <font>
      <b/>
      <sz val="11"/>
      <color theme="1"/>
      <name val="Sylfaen"/>
      <family val="1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0" fillId="2" borderId="0" xfId="0" applyFill="1"/>
    <xf numFmtId="0" fontId="0" fillId="0" borderId="4" xfId="0" applyBorder="1"/>
    <xf numFmtId="0" fontId="0" fillId="3" borderId="4" xfId="0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0" fontId="0" fillId="3" borderId="4" xfId="0" applyFill="1" applyBorder="1" applyAlignment="1">
      <alignment horizontal="right"/>
    </xf>
    <xf numFmtId="0" fontId="4" fillId="0" borderId="4" xfId="0" applyFont="1" applyBorder="1"/>
    <xf numFmtId="0" fontId="0" fillId="4" borderId="4" xfId="0" applyFill="1" applyBorder="1"/>
    <xf numFmtId="0" fontId="0" fillId="4" borderId="4" xfId="0" applyFill="1" applyBorder="1" applyAlignment="1">
      <alignment horizontal="right"/>
    </xf>
    <xf numFmtId="0" fontId="1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textRotation="90" wrapText="1"/>
    </xf>
    <xf numFmtId="0" fontId="1" fillId="4" borderId="4" xfId="0" applyFont="1" applyFill="1" applyBorder="1"/>
    <xf numFmtId="0" fontId="0" fillId="4" borderId="3" xfId="0" applyFill="1" applyBorder="1"/>
    <xf numFmtId="0" fontId="0" fillId="4" borderId="4" xfId="0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textRotation="90" wrapText="1"/>
    </xf>
    <xf numFmtId="0" fontId="5" fillId="4" borderId="4" xfId="0" applyFont="1" applyFill="1" applyBorder="1" applyAlignment="1">
      <alignment horizontal="center" textRotation="90"/>
    </xf>
    <xf numFmtId="0" fontId="0" fillId="4" borderId="4" xfId="0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/>
    <xf numFmtId="0" fontId="0" fillId="4" borderId="3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/>
    <xf numFmtId="0" fontId="6" fillId="4" borderId="7" xfId="0" applyFont="1" applyFill="1" applyBorder="1" applyAlignment="1">
      <alignment horizontal="center" vertical="center" wrapText="1"/>
    </xf>
    <xf numFmtId="0" fontId="8" fillId="4" borderId="4" xfId="0" applyFont="1" applyFill="1" applyBorder="1"/>
    <xf numFmtId="0" fontId="7" fillId="4" borderId="7" xfId="0" applyFont="1" applyFill="1" applyBorder="1" applyAlignment="1">
      <alignment horizontal="center" vertical="center" wrapText="1"/>
    </xf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4" borderId="4" xfId="0" applyFont="1" applyFill="1" applyBorder="1" applyAlignment="1">
      <alignment horizontal="left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wrapText="1"/>
    </xf>
    <xf numFmtId="0" fontId="9" fillId="4" borderId="4" xfId="0" applyFont="1" applyFill="1" applyBorder="1" applyAlignment="1">
      <alignment horizontal="left" wrapText="1"/>
    </xf>
    <xf numFmtId="0" fontId="8" fillId="4" borderId="4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4" fillId="4" borderId="3" xfId="0" applyFont="1" applyFill="1" applyBorder="1" applyAlignment="1">
      <alignment horizontal="center"/>
    </xf>
    <xf numFmtId="0" fontId="13" fillId="0" borderId="0" xfId="0" applyFont="1"/>
    <xf numFmtId="0" fontId="13" fillId="5" borderId="4" xfId="0" applyFont="1" applyFill="1" applyBorder="1"/>
    <xf numFmtId="0" fontId="13" fillId="0" borderId="4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3" borderId="0" xfId="0" applyFont="1" applyFill="1" applyBorder="1" applyAlignment="1">
      <alignment horizontal="right"/>
    </xf>
    <xf numFmtId="0" fontId="13" fillId="3" borderId="0" xfId="0" applyFont="1" applyFill="1" applyBorder="1"/>
    <xf numFmtId="0" fontId="15" fillId="0" borderId="0" xfId="0" applyFont="1"/>
    <xf numFmtId="0" fontId="13" fillId="4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9" fillId="3" borderId="0" xfId="0" applyFont="1" applyFill="1"/>
    <xf numFmtId="0" fontId="9" fillId="0" borderId="0" xfId="0" applyFont="1"/>
    <xf numFmtId="0" fontId="9" fillId="3" borderId="4" xfId="0" applyFont="1" applyFill="1" applyBorder="1"/>
    <xf numFmtId="0" fontId="17" fillId="0" borderId="4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5" borderId="4" xfId="0" applyFont="1" applyFill="1" applyBorder="1" applyAlignment="1">
      <alignment horizontal="center" vertical="center"/>
    </xf>
    <xf numFmtId="0" fontId="9" fillId="5" borderId="4" xfId="0" applyFont="1" applyFill="1" applyBorder="1"/>
    <xf numFmtId="0" fontId="9" fillId="4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/>
    <xf numFmtId="0" fontId="9" fillId="3" borderId="4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/>
    <xf numFmtId="0" fontId="17" fillId="3" borderId="4" xfId="0" applyFont="1" applyFill="1" applyBorder="1"/>
    <xf numFmtId="0" fontId="9" fillId="0" borderId="1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right"/>
    </xf>
    <xf numFmtId="0" fontId="9" fillId="4" borderId="4" xfId="0" applyFont="1" applyFill="1" applyBorder="1"/>
    <xf numFmtId="0" fontId="9" fillId="4" borderId="3" xfId="0" applyFont="1" applyFill="1" applyBorder="1"/>
    <xf numFmtId="0" fontId="9" fillId="2" borderId="3" xfId="0" applyFont="1" applyFill="1" applyBorder="1" applyAlignment="1">
      <alignment horizontal="center"/>
    </xf>
    <xf numFmtId="0" fontId="19" fillId="0" borderId="4" xfId="0" applyFont="1" applyBorder="1" applyAlignment="1">
      <alignment horizontal="left" vertical="center"/>
    </xf>
    <xf numFmtId="0" fontId="20" fillId="3" borderId="4" xfId="0" applyFont="1" applyFill="1" applyBorder="1" applyAlignment="1">
      <alignment vertical="center" wrapText="1"/>
    </xf>
    <xf numFmtId="0" fontId="21" fillId="4" borderId="4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textRotation="90" wrapText="1"/>
    </xf>
    <xf numFmtId="0" fontId="9" fillId="4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9" fillId="9" borderId="4" xfId="0" applyFont="1" applyFill="1" applyBorder="1"/>
    <xf numFmtId="0" fontId="9" fillId="9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4" xfId="0" applyFont="1" applyFill="1" applyBorder="1"/>
    <xf numFmtId="0" fontId="1" fillId="0" borderId="4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0" fillId="3" borderId="13" xfId="0" applyFill="1" applyBorder="1"/>
    <xf numFmtId="0" fontId="0" fillId="0" borderId="13" xfId="0" applyBorder="1"/>
    <xf numFmtId="0" fontId="8" fillId="0" borderId="0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textRotation="90" wrapText="1"/>
    </xf>
    <xf numFmtId="0" fontId="18" fillId="4" borderId="4" xfId="0" applyFont="1" applyFill="1" applyBorder="1" applyAlignment="1">
      <alignment horizontal="center" textRotation="90"/>
    </xf>
    <xf numFmtId="0" fontId="17" fillId="2" borderId="3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textRotation="90" wrapText="1"/>
    </xf>
    <xf numFmtId="0" fontId="18" fillId="3" borderId="4" xfId="0" applyFont="1" applyFill="1" applyBorder="1" applyAlignment="1">
      <alignment horizontal="center" textRotation="90"/>
    </xf>
    <xf numFmtId="0" fontId="16" fillId="3" borderId="4" xfId="0" applyFont="1" applyFill="1" applyBorder="1" applyAlignment="1">
      <alignment horizontal="center" textRotation="90"/>
    </xf>
    <xf numFmtId="0" fontId="24" fillId="3" borderId="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9" fillId="9" borderId="1" xfId="0" applyFont="1" applyFill="1" applyBorder="1" applyAlignment="1">
      <alignment horizontal="center" vertical="center"/>
    </xf>
    <xf numFmtId="0" fontId="9" fillId="10" borderId="4" xfId="0" applyFont="1" applyFill="1" applyBorder="1"/>
    <xf numFmtId="0" fontId="9" fillId="10" borderId="1" xfId="0" applyFont="1" applyFill="1" applyBorder="1"/>
    <xf numFmtId="0" fontId="9" fillId="10" borderId="4" xfId="0" applyFont="1" applyFill="1" applyBorder="1" applyAlignment="1">
      <alignment horizontal="center" vertical="center"/>
    </xf>
    <xf numFmtId="0" fontId="17" fillId="9" borderId="4" xfId="0" applyFont="1" applyFill="1" applyBorder="1"/>
    <xf numFmtId="0" fontId="13" fillId="11" borderId="4" xfId="0" applyFont="1" applyFill="1" applyBorder="1"/>
    <xf numFmtId="0" fontId="9" fillId="11" borderId="4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3" fillId="12" borderId="4" xfId="0" applyFont="1" applyFill="1" applyBorder="1"/>
    <xf numFmtId="0" fontId="13" fillId="13" borderId="4" xfId="0" applyFont="1" applyFill="1" applyBorder="1"/>
    <xf numFmtId="0" fontId="24" fillId="4" borderId="4" xfId="0" applyFont="1" applyFill="1" applyBorder="1" applyAlignment="1">
      <alignment horizontal="right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 textRotation="90"/>
    </xf>
    <xf numFmtId="0" fontId="21" fillId="0" borderId="12" xfId="0" applyFont="1" applyFill="1" applyBorder="1" applyAlignment="1">
      <alignment horizontal="center" vertical="center" textRotation="90"/>
    </xf>
    <xf numFmtId="0" fontId="21" fillId="0" borderId="11" xfId="0" applyFont="1" applyFill="1" applyBorder="1" applyAlignment="1">
      <alignment horizontal="center" vertical="center" textRotation="90"/>
    </xf>
    <xf numFmtId="0" fontId="9" fillId="3" borderId="10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left" vertical="center" wrapText="1"/>
    </xf>
    <xf numFmtId="0" fontId="19" fillId="5" borderId="12" xfId="0" applyFont="1" applyFill="1" applyBorder="1" applyAlignment="1">
      <alignment horizontal="left" vertical="center" wrapText="1"/>
    </xf>
    <xf numFmtId="0" fontId="19" fillId="5" borderId="11" xfId="0" applyFont="1" applyFill="1" applyBorder="1" applyAlignment="1">
      <alignment horizontal="left" vertical="center" wrapText="1"/>
    </xf>
    <xf numFmtId="0" fontId="19" fillId="9" borderId="10" xfId="0" applyFont="1" applyFill="1" applyBorder="1" applyAlignment="1">
      <alignment horizontal="left" vertical="center"/>
    </xf>
    <xf numFmtId="0" fontId="19" fillId="9" borderId="12" xfId="0" applyFont="1" applyFill="1" applyBorder="1" applyAlignment="1">
      <alignment horizontal="left" vertical="center"/>
    </xf>
    <xf numFmtId="0" fontId="19" fillId="9" borderId="11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left" vertical="center" wrapText="1"/>
    </xf>
    <xf numFmtId="0" fontId="7" fillId="10" borderId="12" xfId="0" applyFont="1" applyFill="1" applyBorder="1" applyAlignment="1">
      <alignment horizontal="left" vertical="center" wrapText="1"/>
    </xf>
    <xf numFmtId="0" fontId="7" fillId="10" borderId="11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11" borderId="10" xfId="0" applyFont="1" applyFill="1" applyBorder="1" applyAlignment="1">
      <alignment horizontal="left" vertical="center" wrapText="1"/>
    </xf>
    <xf numFmtId="0" fontId="7" fillId="11" borderId="12" xfId="0" applyFont="1" applyFill="1" applyBorder="1" applyAlignment="1">
      <alignment horizontal="left" vertical="center" wrapText="1"/>
    </xf>
    <xf numFmtId="0" fontId="7" fillId="11" borderId="11" xfId="0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left"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11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left" vertical="center" wrapText="1"/>
    </xf>
    <xf numFmtId="0" fontId="19" fillId="8" borderId="12" xfId="0" applyFont="1" applyFill="1" applyBorder="1" applyAlignment="1">
      <alignment horizontal="left" vertical="center" wrapText="1"/>
    </xf>
    <xf numFmtId="0" fontId="19" fillId="8" borderId="1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left" vertical="center" wrapText="1"/>
    </xf>
    <xf numFmtId="0" fontId="7" fillId="9" borderId="12" xfId="0" applyFont="1" applyFill="1" applyBorder="1" applyAlignment="1">
      <alignment horizontal="left" vertical="center" wrapText="1"/>
    </xf>
    <xf numFmtId="0" fontId="7" fillId="9" borderId="11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1"/>
  <sheetViews>
    <sheetView tabSelected="1" view="pageBreakPreview" zoomScale="86" zoomScaleNormal="106" zoomScaleSheetLayoutView="86" workbookViewId="0">
      <pane xSplit="8" ySplit="3" topLeftCell="I29" activePane="bottomRight" state="frozen"/>
      <selection pane="topRight" activeCell="L1" sqref="L1"/>
      <selection pane="bottomLeft" activeCell="A3" sqref="A3"/>
      <selection pane="bottomRight" activeCell="AD49" sqref="AD49"/>
    </sheetView>
  </sheetViews>
  <sheetFormatPr defaultRowHeight="15" x14ac:dyDescent="0.25"/>
  <cols>
    <col min="1" max="1" width="4.28515625" style="7" customWidth="1"/>
    <col min="2" max="2" width="43.7109375" customWidth="1"/>
    <col min="3" max="3" width="5.5703125" customWidth="1"/>
    <col min="4" max="4" width="6.42578125" customWidth="1"/>
    <col min="5" max="5" width="7.140625" customWidth="1"/>
    <col min="6" max="6" width="6.7109375" customWidth="1"/>
    <col min="7" max="8" width="5.5703125" customWidth="1"/>
    <col min="9" max="9" width="6.5703125" customWidth="1"/>
    <col min="10" max="10" width="4.28515625" customWidth="1"/>
    <col min="11" max="53" width="4.140625" customWidth="1"/>
    <col min="54" max="54" width="8.42578125" customWidth="1"/>
    <col min="55" max="55" width="88.42578125" hidden="1" customWidth="1"/>
    <col min="56" max="56" width="2.5703125" customWidth="1"/>
    <col min="57" max="57" width="8.42578125" customWidth="1"/>
  </cols>
  <sheetData>
    <row r="1" spans="1:56" ht="20.25" customHeight="1" x14ac:dyDescent="0.25">
      <c r="A1" s="103"/>
      <c r="AM1" s="208" t="s">
        <v>54</v>
      </c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104"/>
    </row>
    <row r="2" spans="1:56" ht="18.75" customHeight="1" x14ac:dyDescent="0.25">
      <c r="A2" s="59"/>
      <c r="B2" s="205" t="s">
        <v>53</v>
      </c>
      <c r="C2" s="206"/>
      <c r="D2" s="206"/>
      <c r="E2" s="206"/>
      <c r="F2" s="206"/>
      <c r="G2" s="206"/>
      <c r="H2" s="206"/>
      <c r="I2" s="207"/>
      <c r="J2" s="154" t="s">
        <v>0</v>
      </c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60"/>
      <c r="BD2" s="60"/>
    </row>
    <row r="3" spans="1:56" ht="75" customHeight="1" x14ac:dyDescent="0.25">
      <c r="A3" s="61"/>
      <c r="B3" s="108" t="s">
        <v>19</v>
      </c>
      <c r="C3" s="109" t="s">
        <v>1</v>
      </c>
      <c r="D3" s="109" t="s">
        <v>10</v>
      </c>
      <c r="E3" s="109" t="s">
        <v>3</v>
      </c>
      <c r="F3" s="110" t="s">
        <v>8</v>
      </c>
      <c r="G3" s="109" t="s">
        <v>4</v>
      </c>
      <c r="H3" s="110" t="s">
        <v>5</v>
      </c>
      <c r="I3" s="110" t="s">
        <v>36</v>
      </c>
      <c r="J3" s="62">
        <v>1</v>
      </c>
      <c r="K3" s="62">
        <v>2</v>
      </c>
      <c r="L3" s="62">
        <v>3</v>
      </c>
      <c r="M3" s="62">
        <v>4</v>
      </c>
      <c r="N3" s="62">
        <v>5</v>
      </c>
      <c r="O3" s="62">
        <v>6</v>
      </c>
      <c r="P3" s="62">
        <v>7</v>
      </c>
      <c r="Q3" s="63">
        <v>8</v>
      </c>
      <c r="R3" s="63">
        <v>9</v>
      </c>
      <c r="S3" s="62">
        <v>10</v>
      </c>
      <c r="T3" s="62">
        <v>11</v>
      </c>
      <c r="U3" s="62">
        <v>12</v>
      </c>
      <c r="V3" s="62">
        <v>13</v>
      </c>
      <c r="W3" s="62">
        <v>14</v>
      </c>
      <c r="X3" s="62">
        <v>15</v>
      </c>
      <c r="Y3" s="62">
        <v>16</v>
      </c>
      <c r="Z3" s="62">
        <v>17</v>
      </c>
      <c r="AA3" s="62">
        <v>18</v>
      </c>
      <c r="AB3" s="62">
        <v>19</v>
      </c>
      <c r="AC3" s="62">
        <v>20</v>
      </c>
      <c r="AD3" s="62">
        <v>21</v>
      </c>
      <c r="AE3" s="62">
        <v>22</v>
      </c>
      <c r="AF3" s="62">
        <v>23</v>
      </c>
      <c r="AG3" s="62">
        <v>24</v>
      </c>
      <c r="AH3" s="62">
        <v>25</v>
      </c>
      <c r="AI3" s="62">
        <v>26</v>
      </c>
      <c r="AJ3" s="62">
        <v>27</v>
      </c>
      <c r="AK3" s="62">
        <v>28</v>
      </c>
      <c r="AL3" s="62">
        <v>29</v>
      </c>
      <c r="AM3" s="62">
        <v>30</v>
      </c>
      <c r="AN3" s="62">
        <v>31</v>
      </c>
      <c r="AO3" s="62">
        <v>32</v>
      </c>
      <c r="AP3" s="62">
        <v>33</v>
      </c>
      <c r="AQ3" s="62">
        <v>34</v>
      </c>
      <c r="AR3" s="62">
        <v>35</v>
      </c>
      <c r="AS3" s="62">
        <v>36</v>
      </c>
      <c r="AT3" s="62">
        <v>37</v>
      </c>
      <c r="AU3" s="62">
        <v>38</v>
      </c>
      <c r="AV3" s="62">
        <v>39</v>
      </c>
      <c r="AW3" s="62">
        <v>40</v>
      </c>
      <c r="AX3" s="62">
        <v>41</v>
      </c>
      <c r="AY3" s="62">
        <v>42</v>
      </c>
      <c r="AZ3" s="62">
        <v>43</v>
      </c>
      <c r="BA3" s="62">
        <v>44</v>
      </c>
      <c r="BB3" s="64" t="s">
        <v>3</v>
      </c>
      <c r="BD3" s="90"/>
    </row>
    <row r="4" spans="1:56" ht="14.25" customHeight="1" x14ac:dyDescent="0.25">
      <c r="A4" s="61"/>
      <c r="B4" s="116" t="s">
        <v>12</v>
      </c>
      <c r="C4" s="113"/>
      <c r="D4" s="113"/>
      <c r="E4" s="113"/>
      <c r="F4" s="114"/>
      <c r="G4" s="113"/>
      <c r="H4" s="114"/>
      <c r="I4" s="115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4"/>
      <c r="BD4" s="90"/>
    </row>
    <row r="5" spans="1:56" ht="18.75" customHeight="1" x14ac:dyDescent="0.25">
      <c r="A5" s="138">
        <v>1</v>
      </c>
      <c r="B5" s="157" t="s">
        <v>40</v>
      </c>
      <c r="C5" s="141">
        <v>3</v>
      </c>
      <c r="D5" s="144">
        <v>69</v>
      </c>
      <c r="E5" s="144">
        <v>75</v>
      </c>
      <c r="F5" s="163">
        <v>65</v>
      </c>
      <c r="G5" s="163">
        <v>6</v>
      </c>
      <c r="H5" s="164">
        <v>4</v>
      </c>
      <c r="I5" s="107" t="s">
        <v>37</v>
      </c>
      <c r="J5" s="65">
        <v>3</v>
      </c>
      <c r="K5" s="65">
        <v>3</v>
      </c>
      <c r="L5" s="65">
        <v>3</v>
      </c>
      <c r="M5" s="65">
        <v>3</v>
      </c>
      <c r="N5" s="65">
        <v>3</v>
      </c>
      <c r="O5" s="65">
        <v>3</v>
      </c>
      <c r="P5" s="65">
        <v>3</v>
      </c>
      <c r="Q5" s="134">
        <v>2</v>
      </c>
      <c r="R5" s="65">
        <v>3</v>
      </c>
      <c r="S5" s="65">
        <v>3</v>
      </c>
      <c r="T5" s="65">
        <v>3</v>
      </c>
      <c r="U5" s="65">
        <v>3</v>
      </c>
      <c r="V5" s="65">
        <v>3</v>
      </c>
      <c r="W5" s="65">
        <v>3</v>
      </c>
      <c r="X5" s="65">
        <v>3</v>
      </c>
      <c r="Y5" s="65">
        <v>3</v>
      </c>
      <c r="Z5" s="65">
        <v>3</v>
      </c>
      <c r="AA5" s="65">
        <v>3</v>
      </c>
      <c r="AB5" s="135" t="s">
        <v>56</v>
      </c>
      <c r="AC5" s="65">
        <v>3</v>
      </c>
      <c r="AD5" s="65">
        <v>3</v>
      </c>
      <c r="AE5" s="65">
        <v>3</v>
      </c>
      <c r="AF5" s="65">
        <v>3</v>
      </c>
      <c r="AG5" s="134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7">
        <f t="shared" ref="BB5:BB22" si="0">SUM(J5:BA5)</f>
        <v>65</v>
      </c>
      <c r="BC5" s="153" t="s">
        <v>21</v>
      </c>
      <c r="BD5" s="91"/>
    </row>
    <row r="6" spans="1:56" ht="17.25" customHeight="1" x14ac:dyDescent="0.25">
      <c r="A6" s="139"/>
      <c r="B6" s="158"/>
      <c r="C6" s="142"/>
      <c r="D6" s="145"/>
      <c r="E6" s="145"/>
      <c r="F6" s="163"/>
      <c r="G6" s="163"/>
      <c r="H6" s="164"/>
      <c r="I6" s="107" t="s">
        <v>38</v>
      </c>
      <c r="J6" s="65"/>
      <c r="K6" s="65"/>
      <c r="L6" s="65"/>
      <c r="M6" s="65"/>
      <c r="N6" s="65"/>
      <c r="O6" s="65"/>
      <c r="P6" s="65"/>
      <c r="Q6" s="133">
        <v>1</v>
      </c>
      <c r="R6" s="65"/>
      <c r="S6" s="65"/>
      <c r="T6" s="65"/>
      <c r="U6" s="65"/>
      <c r="V6" s="65"/>
      <c r="W6" s="65"/>
      <c r="X6" s="65"/>
      <c r="Y6" s="65"/>
      <c r="Z6" s="65"/>
      <c r="AA6" s="65"/>
      <c r="AB6" s="136"/>
      <c r="AC6" s="65"/>
      <c r="AD6" s="65"/>
      <c r="AE6" s="65"/>
      <c r="AF6" s="65"/>
      <c r="AG6" s="133">
        <v>3</v>
      </c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7">
        <f t="shared" si="0"/>
        <v>4</v>
      </c>
      <c r="BC6" s="153"/>
      <c r="BD6" s="91"/>
    </row>
    <row r="7" spans="1:56" ht="14.25" customHeight="1" x14ac:dyDescent="0.25">
      <c r="A7" s="140"/>
      <c r="B7" s="159"/>
      <c r="C7" s="143"/>
      <c r="D7" s="146"/>
      <c r="E7" s="146"/>
      <c r="F7" s="163"/>
      <c r="G7" s="163"/>
      <c r="H7" s="164"/>
      <c r="I7" s="107" t="s">
        <v>39</v>
      </c>
      <c r="J7" s="68">
        <v>1</v>
      </c>
      <c r="K7" s="68"/>
      <c r="L7" s="68"/>
      <c r="M7" s="68"/>
      <c r="N7" s="68"/>
      <c r="O7" s="68"/>
      <c r="P7" s="68">
        <v>1</v>
      </c>
      <c r="Q7" s="68"/>
      <c r="R7" s="68">
        <v>1</v>
      </c>
      <c r="S7" s="68"/>
      <c r="T7" s="68"/>
      <c r="U7" s="68"/>
      <c r="V7" s="68">
        <v>1</v>
      </c>
      <c r="W7" s="68"/>
      <c r="X7" s="68"/>
      <c r="Y7" s="68"/>
      <c r="Z7" s="68">
        <v>1</v>
      </c>
      <c r="AA7" s="68"/>
      <c r="AB7" s="136"/>
      <c r="AC7" s="68"/>
      <c r="AD7" s="68"/>
      <c r="AE7" s="68"/>
      <c r="AF7" s="68">
        <v>1</v>
      </c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7">
        <f t="shared" si="0"/>
        <v>6</v>
      </c>
      <c r="BC7" s="153"/>
      <c r="BD7" s="91"/>
    </row>
    <row r="8" spans="1:56" ht="16.5" customHeight="1" x14ac:dyDescent="0.25">
      <c r="A8" s="138">
        <v>2</v>
      </c>
      <c r="B8" s="157" t="s">
        <v>41</v>
      </c>
      <c r="C8" s="147">
        <v>2</v>
      </c>
      <c r="D8" s="150">
        <v>44</v>
      </c>
      <c r="E8" s="150">
        <v>50</v>
      </c>
      <c r="F8" s="165">
        <v>40</v>
      </c>
      <c r="G8" s="165">
        <v>6</v>
      </c>
      <c r="H8" s="168">
        <v>4</v>
      </c>
      <c r="I8" s="107" t="s">
        <v>37</v>
      </c>
      <c r="J8" s="65">
        <v>2</v>
      </c>
      <c r="K8" s="65">
        <v>2</v>
      </c>
      <c r="L8" s="65">
        <v>2</v>
      </c>
      <c r="M8" s="65">
        <v>2</v>
      </c>
      <c r="N8" s="65">
        <v>2</v>
      </c>
      <c r="O8" s="134">
        <v>1</v>
      </c>
      <c r="P8" s="65">
        <v>2</v>
      </c>
      <c r="Q8" s="65">
        <v>2</v>
      </c>
      <c r="R8" s="65">
        <v>2</v>
      </c>
      <c r="S8" s="65">
        <v>2</v>
      </c>
      <c r="T8" s="134">
        <v>1</v>
      </c>
      <c r="U8" s="65">
        <v>2</v>
      </c>
      <c r="V8" s="65">
        <v>2</v>
      </c>
      <c r="W8" s="65">
        <v>2</v>
      </c>
      <c r="X8" s="65">
        <v>2</v>
      </c>
      <c r="Y8" s="65">
        <v>2</v>
      </c>
      <c r="Z8" s="134">
        <v>1</v>
      </c>
      <c r="AA8" s="65">
        <v>2</v>
      </c>
      <c r="AB8" s="136"/>
      <c r="AC8" s="65">
        <v>2</v>
      </c>
      <c r="AD8" s="65">
        <v>2</v>
      </c>
      <c r="AE8" s="65">
        <v>2</v>
      </c>
      <c r="AF8" s="134">
        <v>1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7">
        <f t="shared" si="0"/>
        <v>40</v>
      </c>
      <c r="BC8" s="153" t="s">
        <v>22</v>
      </c>
      <c r="BD8" s="91"/>
    </row>
    <row r="9" spans="1:56" ht="18.75" customHeight="1" x14ac:dyDescent="0.25">
      <c r="A9" s="139"/>
      <c r="B9" s="158"/>
      <c r="C9" s="148"/>
      <c r="D9" s="151"/>
      <c r="E9" s="151"/>
      <c r="F9" s="166"/>
      <c r="G9" s="166"/>
      <c r="H9" s="169"/>
      <c r="I9" s="107" t="s">
        <v>38</v>
      </c>
      <c r="J9" s="65"/>
      <c r="K9" s="65"/>
      <c r="L9" s="65"/>
      <c r="M9" s="65"/>
      <c r="N9" s="65"/>
      <c r="O9" s="133">
        <v>1</v>
      </c>
      <c r="P9" s="65"/>
      <c r="Q9" s="65"/>
      <c r="R9" s="65"/>
      <c r="S9" s="65"/>
      <c r="T9" s="133">
        <v>1</v>
      </c>
      <c r="U9" s="65"/>
      <c r="V9" s="65"/>
      <c r="W9" s="65"/>
      <c r="X9" s="65"/>
      <c r="Y9" s="65"/>
      <c r="Z9" s="133">
        <v>1</v>
      </c>
      <c r="AA9" s="65"/>
      <c r="AB9" s="136"/>
      <c r="AC9" s="65"/>
      <c r="AD9" s="65"/>
      <c r="AE9" s="65"/>
      <c r="AF9" s="133">
        <v>1</v>
      </c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7">
        <f t="shared" si="0"/>
        <v>4</v>
      </c>
      <c r="BC9" s="153"/>
      <c r="BD9" s="91"/>
    </row>
    <row r="10" spans="1:56" ht="11.25" customHeight="1" x14ac:dyDescent="0.25">
      <c r="A10" s="140"/>
      <c r="B10" s="159"/>
      <c r="C10" s="149"/>
      <c r="D10" s="152"/>
      <c r="E10" s="152"/>
      <c r="F10" s="167"/>
      <c r="G10" s="167"/>
      <c r="H10" s="170"/>
      <c r="I10" s="107" t="s">
        <v>39</v>
      </c>
      <c r="J10" s="68"/>
      <c r="K10" s="68"/>
      <c r="L10" s="68">
        <v>0.5</v>
      </c>
      <c r="M10" s="68"/>
      <c r="N10" s="68">
        <v>1</v>
      </c>
      <c r="O10" s="68"/>
      <c r="P10" s="68"/>
      <c r="Q10" s="68">
        <v>0.5</v>
      </c>
      <c r="R10" s="68"/>
      <c r="S10" s="68">
        <v>1</v>
      </c>
      <c r="T10" s="68"/>
      <c r="U10" s="68"/>
      <c r="V10" s="68"/>
      <c r="W10" s="68">
        <v>0.5</v>
      </c>
      <c r="X10" s="68"/>
      <c r="Y10" s="68">
        <v>1</v>
      </c>
      <c r="Z10" s="68"/>
      <c r="AA10" s="68"/>
      <c r="AB10" s="136"/>
      <c r="AC10" s="68">
        <v>0.5</v>
      </c>
      <c r="AD10" s="68"/>
      <c r="AE10" s="68">
        <v>1</v>
      </c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7">
        <f t="shared" si="0"/>
        <v>6</v>
      </c>
      <c r="BC10" s="153"/>
      <c r="BD10" s="91"/>
    </row>
    <row r="11" spans="1:56" ht="18" customHeight="1" x14ac:dyDescent="0.25">
      <c r="A11" s="138">
        <v>3</v>
      </c>
      <c r="B11" s="160" t="s">
        <v>42</v>
      </c>
      <c r="C11" s="147">
        <v>4</v>
      </c>
      <c r="D11" s="150">
        <v>91</v>
      </c>
      <c r="E11" s="150">
        <v>100</v>
      </c>
      <c r="F11" s="165">
        <v>86</v>
      </c>
      <c r="G11" s="165">
        <v>9</v>
      </c>
      <c r="H11" s="168">
        <v>5</v>
      </c>
      <c r="I11" s="107" t="s">
        <v>37</v>
      </c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136"/>
      <c r="AC11" s="97"/>
      <c r="AD11" s="97"/>
      <c r="AE11" s="97"/>
      <c r="AF11" s="97"/>
      <c r="AG11" s="97">
        <v>2</v>
      </c>
      <c r="AH11" s="97">
        <v>5</v>
      </c>
      <c r="AI11" s="134">
        <v>4</v>
      </c>
      <c r="AJ11" s="97">
        <v>5</v>
      </c>
      <c r="AK11" s="97">
        <v>5</v>
      </c>
      <c r="AL11" s="97">
        <v>5</v>
      </c>
      <c r="AM11" s="97">
        <v>5</v>
      </c>
      <c r="AN11" s="97">
        <v>5</v>
      </c>
      <c r="AO11" s="97">
        <v>5</v>
      </c>
      <c r="AP11" s="97">
        <v>5</v>
      </c>
      <c r="AQ11" s="97">
        <v>5</v>
      </c>
      <c r="AR11" s="97">
        <v>5</v>
      </c>
      <c r="AS11" s="97">
        <v>5</v>
      </c>
      <c r="AT11" s="97">
        <v>5</v>
      </c>
      <c r="AU11" s="97">
        <v>5</v>
      </c>
      <c r="AV11" s="97">
        <v>5</v>
      </c>
      <c r="AW11" s="97">
        <v>5</v>
      </c>
      <c r="AX11" s="97">
        <v>5</v>
      </c>
      <c r="AY11" s="134"/>
      <c r="AZ11" s="97"/>
      <c r="BA11" s="97"/>
      <c r="BB11" s="67">
        <f t="shared" si="0"/>
        <v>86</v>
      </c>
      <c r="BC11" s="153" t="s">
        <v>23</v>
      </c>
      <c r="BD11" s="91"/>
    </row>
    <row r="12" spans="1:56" ht="18" customHeight="1" x14ac:dyDescent="0.25">
      <c r="A12" s="139"/>
      <c r="B12" s="161"/>
      <c r="C12" s="148"/>
      <c r="D12" s="151"/>
      <c r="E12" s="151"/>
      <c r="F12" s="166"/>
      <c r="G12" s="166"/>
      <c r="H12" s="169"/>
      <c r="I12" s="107" t="s">
        <v>38</v>
      </c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136"/>
      <c r="AC12" s="97"/>
      <c r="AD12" s="97"/>
      <c r="AE12" s="97"/>
      <c r="AF12" s="97"/>
      <c r="AG12" s="97"/>
      <c r="AH12" s="97"/>
      <c r="AI12" s="133">
        <v>1</v>
      </c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133">
        <v>4</v>
      </c>
      <c r="AZ12" s="97"/>
      <c r="BA12" s="97"/>
      <c r="BB12" s="67">
        <f t="shared" si="0"/>
        <v>5</v>
      </c>
      <c r="BC12" s="153"/>
      <c r="BD12" s="91"/>
    </row>
    <row r="13" spans="1:56" ht="17.25" customHeight="1" x14ac:dyDescent="0.25">
      <c r="A13" s="140"/>
      <c r="B13" s="162"/>
      <c r="C13" s="149"/>
      <c r="D13" s="152"/>
      <c r="E13" s="152"/>
      <c r="F13" s="167"/>
      <c r="G13" s="167"/>
      <c r="H13" s="170"/>
      <c r="I13" s="107" t="s">
        <v>39</v>
      </c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136"/>
      <c r="AC13" s="69"/>
      <c r="AD13" s="69"/>
      <c r="AE13" s="69"/>
      <c r="AF13" s="69"/>
      <c r="AG13" s="69"/>
      <c r="AH13" s="68">
        <v>0.5</v>
      </c>
      <c r="AI13" s="68">
        <v>1</v>
      </c>
      <c r="AJ13" s="68"/>
      <c r="AK13" s="68">
        <v>1</v>
      </c>
      <c r="AL13" s="68">
        <v>1</v>
      </c>
      <c r="AM13" s="61"/>
      <c r="AN13" s="68"/>
      <c r="AO13" s="68">
        <v>1</v>
      </c>
      <c r="AP13" s="68"/>
      <c r="AQ13" s="68">
        <v>1</v>
      </c>
      <c r="AR13" s="68"/>
      <c r="AS13" s="68"/>
      <c r="AT13" s="68">
        <v>1</v>
      </c>
      <c r="AU13" s="68"/>
      <c r="AV13" s="68">
        <v>1</v>
      </c>
      <c r="AW13" s="68"/>
      <c r="AX13" s="68">
        <v>0.5</v>
      </c>
      <c r="AY13" s="68">
        <v>1</v>
      </c>
      <c r="AZ13" s="68"/>
      <c r="BA13" s="61"/>
      <c r="BB13" s="67">
        <f>SUM(AC13:BA13)</f>
        <v>9</v>
      </c>
      <c r="BC13" s="153"/>
      <c r="BD13" s="91"/>
    </row>
    <row r="14" spans="1:56" ht="18.75" hidden="1" customHeight="1" x14ac:dyDescent="0.25">
      <c r="A14" s="138">
        <v>4</v>
      </c>
      <c r="B14" s="199"/>
      <c r="C14" s="147"/>
      <c r="D14" s="195"/>
      <c r="E14" s="150"/>
      <c r="F14" s="166"/>
      <c r="G14" s="166"/>
      <c r="H14" s="178"/>
      <c r="I14" s="107" t="s">
        <v>37</v>
      </c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136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67">
        <f t="shared" si="0"/>
        <v>0</v>
      </c>
      <c r="BC14" s="153" t="s">
        <v>24</v>
      </c>
      <c r="BD14" s="91"/>
    </row>
    <row r="15" spans="1:56" ht="17.25" hidden="1" customHeight="1" x14ac:dyDescent="0.25">
      <c r="A15" s="139"/>
      <c r="B15" s="200"/>
      <c r="C15" s="148"/>
      <c r="D15" s="196"/>
      <c r="E15" s="151"/>
      <c r="F15" s="166"/>
      <c r="G15" s="166"/>
      <c r="H15" s="178"/>
      <c r="I15" s="107" t="s">
        <v>38</v>
      </c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136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67">
        <f t="shared" si="0"/>
        <v>0</v>
      </c>
      <c r="BC15" s="153"/>
      <c r="BD15" s="91"/>
    </row>
    <row r="16" spans="1:56" ht="11.25" hidden="1" customHeight="1" x14ac:dyDescent="0.25">
      <c r="A16" s="140"/>
      <c r="B16" s="201"/>
      <c r="C16" s="149"/>
      <c r="D16" s="197"/>
      <c r="E16" s="152"/>
      <c r="F16" s="166"/>
      <c r="G16" s="166"/>
      <c r="H16" s="178"/>
      <c r="I16" s="107" t="s">
        <v>39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  <c r="AB16" s="136"/>
      <c r="AC16" s="69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7">
        <f t="shared" si="0"/>
        <v>0</v>
      </c>
      <c r="BC16" s="153"/>
      <c r="BD16" s="91"/>
    </row>
    <row r="17" spans="1:56" ht="16.5" hidden="1" customHeight="1" x14ac:dyDescent="0.25">
      <c r="A17" s="138">
        <v>5</v>
      </c>
      <c r="B17" s="199"/>
      <c r="C17" s="198"/>
      <c r="D17" s="179"/>
      <c r="E17" s="179"/>
      <c r="F17" s="179"/>
      <c r="G17" s="179"/>
      <c r="H17" s="213"/>
      <c r="I17" s="107" t="s">
        <v>37</v>
      </c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9"/>
      <c r="X17" s="99"/>
      <c r="Y17" s="99"/>
      <c r="Z17" s="99"/>
      <c r="AA17" s="99"/>
      <c r="AB17" s="136"/>
      <c r="AC17" s="99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67">
        <f t="shared" si="0"/>
        <v>0</v>
      </c>
      <c r="BC17" s="153" t="s">
        <v>25</v>
      </c>
      <c r="BD17" s="91"/>
    </row>
    <row r="18" spans="1:56" ht="18.75" hidden="1" customHeight="1" x14ac:dyDescent="0.25">
      <c r="A18" s="139"/>
      <c r="B18" s="200"/>
      <c r="C18" s="198"/>
      <c r="D18" s="179"/>
      <c r="E18" s="179"/>
      <c r="F18" s="179"/>
      <c r="G18" s="179"/>
      <c r="H18" s="213"/>
      <c r="I18" s="107" t="s">
        <v>38</v>
      </c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9"/>
      <c r="X18" s="99"/>
      <c r="Y18" s="99"/>
      <c r="Z18" s="99"/>
      <c r="AA18" s="99"/>
      <c r="AB18" s="136"/>
      <c r="AC18" s="99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67">
        <f t="shared" si="0"/>
        <v>0</v>
      </c>
      <c r="BC18" s="153"/>
      <c r="BD18" s="91"/>
    </row>
    <row r="19" spans="1:56" ht="11.25" hidden="1" customHeight="1" x14ac:dyDescent="0.25">
      <c r="A19" s="140"/>
      <c r="B19" s="201"/>
      <c r="C19" s="198"/>
      <c r="D19" s="179"/>
      <c r="E19" s="179"/>
      <c r="F19" s="179"/>
      <c r="G19" s="179"/>
      <c r="H19" s="213"/>
      <c r="I19" s="107" t="s">
        <v>39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70"/>
      <c r="X19" s="70"/>
      <c r="Y19" s="70"/>
      <c r="Z19" s="70"/>
      <c r="AA19" s="70"/>
      <c r="AB19" s="136"/>
      <c r="AC19" s="70"/>
      <c r="AD19" s="68"/>
      <c r="AE19" s="68"/>
      <c r="AF19" s="68"/>
      <c r="AG19" s="68"/>
      <c r="AH19" s="69"/>
      <c r="AI19" s="69"/>
      <c r="AJ19" s="68"/>
      <c r="AK19" s="68"/>
      <c r="AL19" s="68"/>
      <c r="AM19" s="68"/>
      <c r="AN19" s="71"/>
      <c r="AO19" s="71"/>
      <c r="AP19" s="71"/>
      <c r="AQ19" s="71"/>
      <c r="AR19" s="71"/>
      <c r="AS19" s="71"/>
      <c r="AT19" s="71"/>
      <c r="AU19" s="68"/>
      <c r="AV19" s="68"/>
      <c r="AW19" s="68"/>
      <c r="AX19" s="68"/>
      <c r="AY19" s="68"/>
      <c r="AZ19" s="68"/>
      <c r="BA19" s="68"/>
      <c r="BB19" s="67">
        <f t="shared" si="0"/>
        <v>0</v>
      </c>
      <c r="BC19" s="153"/>
      <c r="BD19" s="91"/>
    </row>
    <row r="20" spans="1:56" ht="15" hidden="1" customHeight="1" x14ac:dyDescent="0.25">
      <c r="A20" s="138">
        <v>6</v>
      </c>
      <c r="B20" s="202"/>
      <c r="C20" s="147"/>
      <c r="D20" s="150"/>
      <c r="E20" s="150"/>
      <c r="F20" s="189"/>
      <c r="G20" s="189"/>
      <c r="H20" s="192"/>
      <c r="I20" s="107" t="s">
        <v>37</v>
      </c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136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67">
        <f t="shared" si="0"/>
        <v>0</v>
      </c>
      <c r="BC20" s="153" t="s">
        <v>33</v>
      </c>
      <c r="BD20" s="91"/>
    </row>
    <row r="21" spans="1:56" ht="17.25" hidden="1" customHeight="1" x14ac:dyDescent="0.25">
      <c r="A21" s="139"/>
      <c r="B21" s="203"/>
      <c r="C21" s="148"/>
      <c r="D21" s="151"/>
      <c r="E21" s="151"/>
      <c r="F21" s="190"/>
      <c r="G21" s="190"/>
      <c r="H21" s="193"/>
      <c r="I21" s="107" t="s">
        <v>38</v>
      </c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136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67">
        <f t="shared" si="0"/>
        <v>0</v>
      </c>
      <c r="BC21" s="153"/>
      <c r="BD21" s="91"/>
    </row>
    <row r="22" spans="1:56" ht="11.25" hidden="1" customHeight="1" x14ac:dyDescent="0.25">
      <c r="A22" s="140"/>
      <c r="B22" s="204"/>
      <c r="C22" s="149"/>
      <c r="D22" s="152"/>
      <c r="E22" s="152"/>
      <c r="F22" s="191"/>
      <c r="G22" s="191"/>
      <c r="H22" s="194"/>
      <c r="I22" s="107" t="s">
        <v>39</v>
      </c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136"/>
      <c r="AC22" s="68"/>
      <c r="AD22" s="68"/>
      <c r="AE22" s="68"/>
      <c r="AF22" s="68"/>
      <c r="AG22" s="71"/>
      <c r="AH22" s="71"/>
      <c r="AI22" s="71"/>
      <c r="AJ22" s="71"/>
      <c r="AK22" s="69"/>
      <c r="AL22" s="69"/>
      <c r="AM22" s="69"/>
      <c r="AN22" s="69"/>
      <c r="AO22" s="69"/>
      <c r="AP22" s="69"/>
      <c r="AQ22" s="69"/>
      <c r="AR22" s="69"/>
      <c r="AS22" s="69"/>
      <c r="AT22" s="68"/>
      <c r="AU22" s="68"/>
      <c r="AV22" s="68"/>
      <c r="AW22" s="68"/>
      <c r="AX22" s="68"/>
      <c r="AY22" s="68"/>
      <c r="AZ22" s="68"/>
      <c r="BA22" s="68"/>
      <c r="BB22" s="67">
        <f t="shared" si="0"/>
        <v>0</v>
      </c>
      <c r="BC22" s="153"/>
      <c r="BD22" s="91"/>
    </row>
    <row r="23" spans="1:56" ht="15.75" customHeight="1" x14ac:dyDescent="0.25">
      <c r="A23" s="72"/>
      <c r="B23" s="117" t="s">
        <v>13</v>
      </c>
      <c r="C23" s="73"/>
      <c r="D23" s="73"/>
      <c r="E23" s="74"/>
      <c r="F23" s="112"/>
      <c r="G23" s="112"/>
      <c r="H23" s="105"/>
      <c r="I23" s="101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136"/>
      <c r="AC23" s="68"/>
      <c r="AD23" s="68"/>
      <c r="AE23" s="68"/>
      <c r="AF23" s="68"/>
      <c r="AG23" s="68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8"/>
      <c r="AW23" s="61"/>
      <c r="AX23" s="61"/>
      <c r="AY23" s="61"/>
      <c r="AZ23" s="61"/>
      <c r="BA23" s="61"/>
      <c r="BB23" s="67">
        <v>0</v>
      </c>
      <c r="BC23" s="95"/>
      <c r="BD23" s="91"/>
    </row>
    <row r="24" spans="1:56" ht="15.75" customHeight="1" x14ac:dyDescent="0.25">
      <c r="A24" s="138">
        <v>4</v>
      </c>
      <c r="B24" s="171" t="s">
        <v>43</v>
      </c>
      <c r="C24" s="147">
        <v>7</v>
      </c>
      <c r="D24" s="150">
        <v>150</v>
      </c>
      <c r="E24" s="177">
        <v>175</v>
      </c>
      <c r="F24" s="165">
        <v>140</v>
      </c>
      <c r="G24" s="165">
        <v>25</v>
      </c>
      <c r="H24" s="168">
        <v>10</v>
      </c>
      <c r="I24" s="107" t="s">
        <v>37</v>
      </c>
      <c r="J24" s="65">
        <v>25</v>
      </c>
      <c r="K24" s="65">
        <v>25</v>
      </c>
      <c r="L24" s="65">
        <v>25</v>
      </c>
      <c r="M24" s="65">
        <v>25</v>
      </c>
      <c r="N24" s="65">
        <v>25</v>
      </c>
      <c r="O24" s="134">
        <v>15</v>
      </c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136"/>
      <c r="AC24" s="65"/>
      <c r="AD24" s="65"/>
      <c r="AE24" s="65"/>
      <c r="AF24" s="65"/>
      <c r="AG24" s="65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5"/>
      <c r="AW24" s="66"/>
      <c r="AX24" s="66"/>
      <c r="AY24" s="66"/>
      <c r="AZ24" s="66"/>
      <c r="BA24" s="66"/>
      <c r="BB24" s="67">
        <f>SUM(J24:BA24)</f>
        <v>140</v>
      </c>
      <c r="BC24" s="153" t="s">
        <v>34</v>
      </c>
      <c r="BD24" s="91"/>
    </row>
    <row r="25" spans="1:56" ht="17.25" customHeight="1" x14ac:dyDescent="0.25">
      <c r="A25" s="139"/>
      <c r="B25" s="172"/>
      <c r="C25" s="148"/>
      <c r="D25" s="151"/>
      <c r="E25" s="177"/>
      <c r="F25" s="166"/>
      <c r="G25" s="166"/>
      <c r="H25" s="169"/>
      <c r="I25" s="107" t="s">
        <v>38</v>
      </c>
      <c r="J25" s="65"/>
      <c r="K25" s="65"/>
      <c r="L25" s="65"/>
      <c r="M25" s="65"/>
      <c r="N25" s="65"/>
      <c r="O25" s="133">
        <v>10</v>
      </c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136"/>
      <c r="AC25" s="65"/>
      <c r="AD25" s="65"/>
      <c r="AE25" s="65"/>
      <c r="AF25" s="65"/>
      <c r="AG25" s="65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5"/>
      <c r="AW25" s="66"/>
      <c r="AX25" s="66"/>
      <c r="AY25" s="66"/>
      <c r="AZ25" s="66"/>
      <c r="BA25" s="66"/>
      <c r="BB25" s="67">
        <f>SUM(J25:BA25)</f>
        <v>10</v>
      </c>
      <c r="BC25" s="153"/>
      <c r="BD25" s="91"/>
    </row>
    <row r="26" spans="1:56" ht="13.5" customHeight="1" x14ac:dyDescent="0.25">
      <c r="A26" s="140"/>
      <c r="B26" s="173"/>
      <c r="C26" s="149"/>
      <c r="D26" s="152"/>
      <c r="E26" s="177"/>
      <c r="F26" s="167"/>
      <c r="G26" s="167"/>
      <c r="H26" s="170"/>
      <c r="I26" s="107" t="s">
        <v>39</v>
      </c>
      <c r="J26" s="68">
        <v>4</v>
      </c>
      <c r="K26" s="68">
        <v>4</v>
      </c>
      <c r="L26" s="68">
        <v>5</v>
      </c>
      <c r="M26" s="68">
        <v>4.5</v>
      </c>
      <c r="N26" s="68">
        <v>5</v>
      </c>
      <c r="O26" s="68">
        <v>2.5</v>
      </c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136"/>
      <c r="AC26" s="68"/>
      <c r="AD26" s="68"/>
      <c r="AE26" s="68"/>
      <c r="AF26" s="68"/>
      <c r="AG26" s="68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8"/>
      <c r="AW26" s="61"/>
      <c r="AX26" s="61"/>
      <c r="AY26" s="61"/>
      <c r="AZ26" s="61"/>
      <c r="BA26" s="61"/>
      <c r="BB26" s="67">
        <f>SUM(J26:BA26)</f>
        <v>25</v>
      </c>
      <c r="BC26" s="153"/>
      <c r="BD26" s="91"/>
    </row>
    <row r="27" spans="1:56" ht="17.25" customHeight="1" x14ac:dyDescent="0.25">
      <c r="A27" s="138">
        <v>5</v>
      </c>
      <c r="B27" s="183" t="s">
        <v>44</v>
      </c>
      <c r="C27" s="147">
        <v>4</v>
      </c>
      <c r="D27" s="150">
        <v>88</v>
      </c>
      <c r="E27" s="177">
        <v>100</v>
      </c>
      <c r="F27" s="165">
        <v>80</v>
      </c>
      <c r="G27" s="165">
        <v>12</v>
      </c>
      <c r="H27" s="168">
        <v>8</v>
      </c>
      <c r="I27" s="107" t="s">
        <v>37</v>
      </c>
      <c r="J27" s="125"/>
      <c r="K27" s="125"/>
      <c r="L27" s="125"/>
      <c r="M27" s="125"/>
      <c r="N27" s="125"/>
      <c r="O27" s="125"/>
      <c r="P27" s="125">
        <v>15</v>
      </c>
      <c r="Q27" s="125">
        <v>15</v>
      </c>
      <c r="R27" s="125">
        <v>15</v>
      </c>
      <c r="S27" s="125">
        <v>15</v>
      </c>
      <c r="T27" s="125">
        <v>15</v>
      </c>
      <c r="U27" s="134">
        <v>5</v>
      </c>
      <c r="V27" s="125"/>
      <c r="W27" s="125"/>
      <c r="X27" s="125"/>
      <c r="Y27" s="125"/>
      <c r="Z27" s="125"/>
      <c r="AA27" s="125"/>
      <c r="AB27" s="136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67">
        <f t="shared" ref="BB27:BB51" si="1">SUM(P27:BA27)</f>
        <v>80</v>
      </c>
      <c r="BC27" s="153" t="s">
        <v>26</v>
      </c>
      <c r="BD27" s="91"/>
    </row>
    <row r="28" spans="1:56" ht="18" customHeight="1" x14ac:dyDescent="0.25">
      <c r="A28" s="139"/>
      <c r="B28" s="184"/>
      <c r="C28" s="148"/>
      <c r="D28" s="151"/>
      <c r="E28" s="177"/>
      <c r="F28" s="166"/>
      <c r="G28" s="166"/>
      <c r="H28" s="169"/>
      <c r="I28" s="107" t="s">
        <v>38</v>
      </c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33">
        <v>8</v>
      </c>
      <c r="V28" s="125"/>
      <c r="W28" s="125"/>
      <c r="X28" s="125"/>
      <c r="Y28" s="125"/>
      <c r="Z28" s="125"/>
      <c r="AA28" s="125"/>
      <c r="AB28" s="136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67">
        <f t="shared" si="1"/>
        <v>8</v>
      </c>
      <c r="BC28" s="153"/>
      <c r="BD28" s="91"/>
    </row>
    <row r="29" spans="1:56" x14ac:dyDescent="0.25">
      <c r="A29" s="140"/>
      <c r="B29" s="185"/>
      <c r="C29" s="149"/>
      <c r="D29" s="152"/>
      <c r="E29" s="177"/>
      <c r="F29" s="167"/>
      <c r="G29" s="167"/>
      <c r="H29" s="170"/>
      <c r="I29" s="107" t="s">
        <v>39</v>
      </c>
      <c r="J29" s="68"/>
      <c r="K29" s="68"/>
      <c r="L29" s="68"/>
      <c r="M29" s="68"/>
      <c r="N29" s="68"/>
      <c r="O29" s="68"/>
      <c r="P29" s="68">
        <v>2</v>
      </c>
      <c r="Q29" s="68">
        <v>2.5</v>
      </c>
      <c r="R29" s="68">
        <v>1</v>
      </c>
      <c r="S29" s="68">
        <v>2</v>
      </c>
      <c r="T29" s="68">
        <v>2.5</v>
      </c>
      <c r="U29" s="68">
        <v>2</v>
      </c>
      <c r="V29" s="68"/>
      <c r="W29" s="68"/>
      <c r="X29" s="68"/>
      <c r="Y29" s="68"/>
      <c r="Z29" s="70"/>
      <c r="AA29" s="68"/>
      <c r="AB29" s="136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9"/>
      <c r="AO29" s="61"/>
      <c r="AP29" s="68"/>
      <c r="AQ29" s="68"/>
      <c r="AR29" s="61"/>
      <c r="AS29" s="61"/>
      <c r="AT29" s="61"/>
      <c r="AU29" s="61"/>
      <c r="AV29" s="68"/>
      <c r="AW29" s="61"/>
      <c r="AX29" s="61"/>
      <c r="AY29" s="61"/>
      <c r="AZ29" s="61"/>
      <c r="BA29" s="61"/>
      <c r="BB29" s="67">
        <f t="shared" si="1"/>
        <v>12</v>
      </c>
      <c r="BC29" s="153"/>
      <c r="BD29" s="91"/>
    </row>
    <row r="30" spans="1:56" ht="18" customHeight="1" x14ac:dyDescent="0.25">
      <c r="A30" s="138">
        <v>6</v>
      </c>
      <c r="B30" s="183" t="s">
        <v>45</v>
      </c>
      <c r="C30" s="147">
        <v>9</v>
      </c>
      <c r="D30" s="150">
        <v>193</v>
      </c>
      <c r="E30" s="150">
        <v>225</v>
      </c>
      <c r="F30" s="166">
        <v>180</v>
      </c>
      <c r="G30" s="166">
        <v>32</v>
      </c>
      <c r="H30" s="178">
        <v>13</v>
      </c>
      <c r="I30" s="107" t="s">
        <v>37</v>
      </c>
      <c r="J30" s="125"/>
      <c r="K30" s="125"/>
      <c r="L30" s="125"/>
      <c r="M30" s="125"/>
      <c r="N30" s="125"/>
      <c r="O30" s="125"/>
      <c r="P30" s="125">
        <v>10</v>
      </c>
      <c r="Q30" s="125">
        <v>10</v>
      </c>
      <c r="R30" s="125">
        <v>10</v>
      </c>
      <c r="S30" s="125">
        <v>10</v>
      </c>
      <c r="T30" s="125">
        <v>10</v>
      </c>
      <c r="U30" s="125">
        <v>12</v>
      </c>
      <c r="V30" s="125">
        <v>25</v>
      </c>
      <c r="W30" s="125">
        <v>25</v>
      </c>
      <c r="X30" s="125">
        <v>25</v>
      </c>
      <c r="Y30" s="125">
        <v>25</v>
      </c>
      <c r="Z30" s="134">
        <v>18</v>
      </c>
      <c r="AA30" s="134"/>
      <c r="AB30" s="136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67">
        <f t="shared" si="1"/>
        <v>180</v>
      </c>
      <c r="BC30" s="153" t="s">
        <v>27</v>
      </c>
      <c r="BD30" s="91"/>
    </row>
    <row r="31" spans="1:56" ht="18.75" customHeight="1" x14ac:dyDescent="0.25">
      <c r="A31" s="139"/>
      <c r="B31" s="184"/>
      <c r="C31" s="148"/>
      <c r="D31" s="151"/>
      <c r="E31" s="151"/>
      <c r="F31" s="166"/>
      <c r="G31" s="166"/>
      <c r="H31" s="178"/>
      <c r="I31" s="107" t="s">
        <v>38</v>
      </c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6"/>
      <c r="V31" s="125"/>
      <c r="W31" s="125"/>
      <c r="X31" s="125"/>
      <c r="Y31" s="125"/>
      <c r="Z31" s="133">
        <v>7</v>
      </c>
      <c r="AA31" s="133">
        <v>6</v>
      </c>
      <c r="AB31" s="136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67">
        <f t="shared" si="1"/>
        <v>13</v>
      </c>
      <c r="BC31" s="153"/>
      <c r="BD31" s="91"/>
    </row>
    <row r="32" spans="1:56" ht="16.5" customHeight="1" x14ac:dyDescent="0.25">
      <c r="A32" s="140"/>
      <c r="B32" s="185"/>
      <c r="C32" s="149"/>
      <c r="D32" s="152"/>
      <c r="E32" s="152"/>
      <c r="F32" s="166"/>
      <c r="G32" s="166"/>
      <c r="H32" s="178"/>
      <c r="I32" s="107" t="s">
        <v>39</v>
      </c>
      <c r="J32" s="68"/>
      <c r="K32" s="68"/>
      <c r="L32" s="68"/>
      <c r="M32" s="68"/>
      <c r="N32" s="68"/>
      <c r="O32" s="68"/>
      <c r="P32" s="68">
        <v>2</v>
      </c>
      <c r="Q32" s="68">
        <v>2</v>
      </c>
      <c r="R32" s="68">
        <v>2</v>
      </c>
      <c r="S32" s="68">
        <v>2.5</v>
      </c>
      <c r="T32" s="68">
        <v>2</v>
      </c>
      <c r="U32" s="75">
        <v>3</v>
      </c>
      <c r="V32" s="68">
        <v>4</v>
      </c>
      <c r="W32" s="68">
        <v>3.5</v>
      </c>
      <c r="X32" s="68">
        <v>4</v>
      </c>
      <c r="Y32" s="68">
        <v>4</v>
      </c>
      <c r="Z32" s="69">
        <v>3</v>
      </c>
      <c r="AA32" s="70"/>
      <c r="AB32" s="136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67">
        <f t="shared" si="1"/>
        <v>32</v>
      </c>
      <c r="BC32" s="153"/>
      <c r="BD32" s="91"/>
    </row>
    <row r="33" spans="1:56" ht="18" customHeight="1" x14ac:dyDescent="0.25">
      <c r="A33" s="138">
        <v>7</v>
      </c>
      <c r="B33" s="186" t="s">
        <v>46</v>
      </c>
      <c r="C33" s="147">
        <v>6</v>
      </c>
      <c r="D33" s="150">
        <v>120</v>
      </c>
      <c r="E33" s="150">
        <v>150</v>
      </c>
      <c r="F33" s="165">
        <v>110</v>
      </c>
      <c r="G33" s="165">
        <v>30</v>
      </c>
      <c r="H33" s="168">
        <v>10</v>
      </c>
      <c r="I33" s="107" t="s">
        <v>37</v>
      </c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7"/>
      <c r="V33" s="76"/>
      <c r="W33" s="76"/>
      <c r="X33" s="76"/>
      <c r="Y33" s="76"/>
      <c r="Z33" s="76"/>
      <c r="AA33" s="76">
        <v>2</v>
      </c>
      <c r="AB33" s="136"/>
      <c r="AC33" s="76">
        <v>8</v>
      </c>
      <c r="AD33" s="76">
        <v>8</v>
      </c>
      <c r="AE33" s="76">
        <v>8</v>
      </c>
      <c r="AF33" s="76">
        <v>8</v>
      </c>
      <c r="AG33" s="76">
        <v>8</v>
      </c>
      <c r="AH33" s="76">
        <v>8</v>
      </c>
      <c r="AI33" s="76">
        <v>8</v>
      </c>
      <c r="AJ33" s="76">
        <v>8</v>
      </c>
      <c r="AK33" s="76">
        <v>8</v>
      </c>
      <c r="AL33" s="76">
        <v>8</v>
      </c>
      <c r="AM33" s="76">
        <v>8</v>
      </c>
      <c r="AN33" s="76">
        <v>8</v>
      </c>
      <c r="AO33" s="76">
        <v>8</v>
      </c>
      <c r="AP33" s="134">
        <v>4</v>
      </c>
      <c r="AQ33" s="134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67">
        <f t="shared" si="1"/>
        <v>110</v>
      </c>
      <c r="BC33" s="153" t="s">
        <v>28</v>
      </c>
      <c r="BD33" s="91"/>
    </row>
    <row r="34" spans="1:56" ht="18.75" customHeight="1" x14ac:dyDescent="0.25">
      <c r="A34" s="139"/>
      <c r="B34" s="187"/>
      <c r="C34" s="148"/>
      <c r="D34" s="151"/>
      <c r="E34" s="151"/>
      <c r="F34" s="166"/>
      <c r="G34" s="166"/>
      <c r="H34" s="169"/>
      <c r="I34" s="107" t="s">
        <v>38</v>
      </c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7"/>
      <c r="V34" s="76"/>
      <c r="W34" s="76"/>
      <c r="X34" s="76"/>
      <c r="Y34" s="76"/>
      <c r="Z34" s="76"/>
      <c r="AA34" s="76"/>
      <c r="AB34" s="13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133">
        <v>4</v>
      </c>
      <c r="AQ34" s="133">
        <v>6</v>
      </c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67">
        <f t="shared" si="1"/>
        <v>10</v>
      </c>
      <c r="BC34" s="153"/>
      <c r="BD34" s="91"/>
    </row>
    <row r="35" spans="1:56" ht="17.25" customHeight="1" x14ac:dyDescent="0.25">
      <c r="A35" s="140"/>
      <c r="B35" s="188"/>
      <c r="C35" s="149"/>
      <c r="D35" s="152"/>
      <c r="E35" s="152"/>
      <c r="F35" s="167"/>
      <c r="G35" s="167"/>
      <c r="H35" s="170"/>
      <c r="I35" s="107" t="s">
        <v>39</v>
      </c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75"/>
      <c r="V35" s="68"/>
      <c r="W35" s="68"/>
      <c r="X35" s="68"/>
      <c r="Y35" s="68"/>
      <c r="Z35" s="68"/>
      <c r="AA35" s="68">
        <v>0.5</v>
      </c>
      <c r="AB35" s="136"/>
      <c r="AC35" s="68">
        <v>1</v>
      </c>
      <c r="AD35" s="68">
        <v>1</v>
      </c>
      <c r="AE35" s="68">
        <v>1</v>
      </c>
      <c r="AF35" s="68">
        <v>2</v>
      </c>
      <c r="AG35" s="68">
        <v>1</v>
      </c>
      <c r="AH35" s="68">
        <v>1</v>
      </c>
      <c r="AI35" s="68">
        <v>5</v>
      </c>
      <c r="AJ35" s="68">
        <v>4.5</v>
      </c>
      <c r="AK35" s="68">
        <v>5</v>
      </c>
      <c r="AL35" s="68">
        <v>2</v>
      </c>
      <c r="AM35" s="68">
        <v>1</v>
      </c>
      <c r="AN35" s="68">
        <v>2</v>
      </c>
      <c r="AO35" s="68">
        <v>1</v>
      </c>
      <c r="AP35" s="68">
        <v>2</v>
      </c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7">
        <f t="shared" si="1"/>
        <v>30</v>
      </c>
      <c r="BC35" s="153"/>
      <c r="BD35" s="91"/>
    </row>
    <row r="36" spans="1:56" ht="18.75" customHeight="1" x14ac:dyDescent="0.25">
      <c r="A36" s="138">
        <v>8</v>
      </c>
      <c r="B36" s="186" t="s">
        <v>47</v>
      </c>
      <c r="C36" s="147">
        <v>8</v>
      </c>
      <c r="D36" s="150">
        <v>172</v>
      </c>
      <c r="E36" s="150">
        <v>200</v>
      </c>
      <c r="F36" s="189">
        <v>160</v>
      </c>
      <c r="G36" s="189">
        <v>28</v>
      </c>
      <c r="H36" s="192">
        <v>12</v>
      </c>
      <c r="I36" s="107" t="s">
        <v>37</v>
      </c>
      <c r="J36" s="78"/>
      <c r="K36" s="78"/>
      <c r="L36" s="78"/>
      <c r="M36" s="78"/>
      <c r="N36" s="78"/>
      <c r="O36" s="78"/>
      <c r="P36" s="78"/>
      <c r="Q36" s="76"/>
      <c r="R36" s="76"/>
      <c r="S36" s="76"/>
      <c r="T36" s="76"/>
      <c r="U36" s="77"/>
      <c r="V36" s="76"/>
      <c r="W36" s="76"/>
      <c r="X36" s="76"/>
      <c r="Y36" s="76"/>
      <c r="Z36" s="76"/>
      <c r="AA36" s="76">
        <v>11</v>
      </c>
      <c r="AB36" s="136"/>
      <c r="AC36" s="76">
        <v>11</v>
      </c>
      <c r="AD36" s="76">
        <v>11</v>
      </c>
      <c r="AE36" s="76">
        <v>11</v>
      </c>
      <c r="AF36" s="76">
        <v>11</v>
      </c>
      <c r="AG36" s="76">
        <v>11</v>
      </c>
      <c r="AH36" s="76">
        <v>11</v>
      </c>
      <c r="AI36" s="76">
        <v>11</v>
      </c>
      <c r="AJ36" s="76">
        <v>11</v>
      </c>
      <c r="AK36" s="76">
        <v>11</v>
      </c>
      <c r="AL36" s="76">
        <v>11</v>
      </c>
      <c r="AM36" s="76">
        <v>11</v>
      </c>
      <c r="AN36" s="76">
        <v>11</v>
      </c>
      <c r="AO36" s="76">
        <v>11</v>
      </c>
      <c r="AP36" s="134">
        <v>6</v>
      </c>
      <c r="AQ36" s="134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67">
        <f t="shared" si="1"/>
        <v>160</v>
      </c>
      <c r="BC36" s="153" t="s">
        <v>35</v>
      </c>
      <c r="BD36" s="91"/>
    </row>
    <row r="37" spans="1:56" ht="18.75" customHeight="1" x14ac:dyDescent="0.25">
      <c r="A37" s="139"/>
      <c r="B37" s="187"/>
      <c r="C37" s="148"/>
      <c r="D37" s="151"/>
      <c r="E37" s="151"/>
      <c r="F37" s="190"/>
      <c r="G37" s="190"/>
      <c r="H37" s="193"/>
      <c r="I37" s="107" t="s">
        <v>38</v>
      </c>
      <c r="J37" s="78"/>
      <c r="K37" s="78"/>
      <c r="L37" s="78"/>
      <c r="M37" s="78"/>
      <c r="N37" s="78"/>
      <c r="O37" s="78"/>
      <c r="P37" s="78"/>
      <c r="Q37" s="76"/>
      <c r="R37" s="76"/>
      <c r="S37" s="76"/>
      <c r="T37" s="76"/>
      <c r="U37" s="77"/>
      <c r="V37" s="76"/>
      <c r="W37" s="76"/>
      <c r="X37" s="76"/>
      <c r="Y37" s="76"/>
      <c r="Z37" s="76"/>
      <c r="AA37" s="76"/>
      <c r="AB37" s="13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133">
        <v>5</v>
      </c>
      <c r="AQ37" s="133">
        <v>7</v>
      </c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67">
        <f t="shared" si="1"/>
        <v>12</v>
      </c>
      <c r="BC37" s="153"/>
      <c r="BD37" s="91"/>
    </row>
    <row r="38" spans="1:56" ht="18.75" customHeight="1" x14ac:dyDescent="0.25">
      <c r="A38" s="140"/>
      <c r="B38" s="188"/>
      <c r="C38" s="149"/>
      <c r="D38" s="152"/>
      <c r="E38" s="152"/>
      <c r="F38" s="191"/>
      <c r="G38" s="191"/>
      <c r="H38" s="194"/>
      <c r="I38" s="107" t="s">
        <v>39</v>
      </c>
      <c r="J38" s="61"/>
      <c r="K38" s="61"/>
      <c r="L38" s="61"/>
      <c r="M38" s="61"/>
      <c r="N38" s="61"/>
      <c r="O38" s="61"/>
      <c r="P38" s="61"/>
      <c r="Q38" s="68"/>
      <c r="R38" s="68"/>
      <c r="S38" s="68"/>
      <c r="T38" s="68"/>
      <c r="U38" s="75"/>
      <c r="V38" s="68"/>
      <c r="W38" s="68"/>
      <c r="X38" s="68"/>
      <c r="Y38" s="68"/>
      <c r="Z38" s="68"/>
      <c r="AA38" s="68">
        <v>2</v>
      </c>
      <c r="AB38" s="136"/>
      <c r="AC38" s="68">
        <v>2</v>
      </c>
      <c r="AD38" s="68">
        <v>3</v>
      </c>
      <c r="AE38" s="68">
        <v>2</v>
      </c>
      <c r="AF38" s="68">
        <v>3</v>
      </c>
      <c r="AG38" s="68">
        <v>2</v>
      </c>
      <c r="AH38" s="68">
        <v>1</v>
      </c>
      <c r="AI38" s="68">
        <v>2</v>
      </c>
      <c r="AJ38" s="68">
        <v>1</v>
      </c>
      <c r="AK38" s="68">
        <v>2</v>
      </c>
      <c r="AL38" s="68">
        <v>1.5</v>
      </c>
      <c r="AM38" s="68">
        <v>1</v>
      </c>
      <c r="AN38" s="68">
        <v>1.5</v>
      </c>
      <c r="AO38" s="68">
        <v>2</v>
      </c>
      <c r="AP38" s="68">
        <v>2</v>
      </c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7">
        <f t="shared" si="1"/>
        <v>28</v>
      </c>
      <c r="BC38" s="153"/>
      <c r="BD38" s="91"/>
    </row>
    <row r="39" spans="1:56" ht="21" customHeight="1" x14ac:dyDescent="0.25">
      <c r="A39" s="138">
        <v>9</v>
      </c>
      <c r="B39" s="214" t="s">
        <v>48</v>
      </c>
      <c r="C39" s="147">
        <v>3</v>
      </c>
      <c r="D39" s="150">
        <v>55</v>
      </c>
      <c r="E39" s="150">
        <v>75</v>
      </c>
      <c r="F39" s="190">
        <v>50</v>
      </c>
      <c r="G39" s="190">
        <v>20</v>
      </c>
      <c r="H39" s="211">
        <v>5</v>
      </c>
      <c r="I39" s="107" t="s">
        <v>37</v>
      </c>
      <c r="J39" s="96"/>
      <c r="K39" s="96"/>
      <c r="L39" s="96"/>
      <c r="M39" s="96"/>
      <c r="N39" s="96"/>
      <c r="O39" s="96"/>
      <c r="P39" s="96"/>
      <c r="Q39" s="97"/>
      <c r="R39" s="97"/>
      <c r="S39" s="97"/>
      <c r="T39" s="97"/>
      <c r="U39" s="119"/>
      <c r="V39" s="119"/>
      <c r="W39" s="97"/>
      <c r="X39" s="97"/>
      <c r="Y39" s="97"/>
      <c r="Z39" s="97"/>
      <c r="AA39" s="97"/>
      <c r="AB39" s="136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>
        <v>6</v>
      </c>
      <c r="AR39" s="97">
        <v>7</v>
      </c>
      <c r="AS39" s="97">
        <v>7</v>
      </c>
      <c r="AT39" s="97">
        <v>7</v>
      </c>
      <c r="AU39" s="97">
        <v>7</v>
      </c>
      <c r="AV39" s="97">
        <v>7</v>
      </c>
      <c r="AW39" s="97">
        <v>7</v>
      </c>
      <c r="AX39" s="134">
        <v>2</v>
      </c>
      <c r="AY39" s="97"/>
      <c r="AZ39" s="97"/>
      <c r="BA39" s="97"/>
      <c r="BB39" s="67">
        <f t="shared" si="1"/>
        <v>50</v>
      </c>
      <c r="BC39" s="153" t="s">
        <v>29</v>
      </c>
      <c r="BD39" s="91"/>
    </row>
    <row r="40" spans="1:56" ht="21" customHeight="1" x14ac:dyDescent="0.25">
      <c r="A40" s="139"/>
      <c r="B40" s="215"/>
      <c r="C40" s="148"/>
      <c r="D40" s="151"/>
      <c r="E40" s="151"/>
      <c r="F40" s="190"/>
      <c r="G40" s="190"/>
      <c r="H40" s="211"/>
      <c r="I40" s="107" t="s">
        <v>38</v>
      </c>
      <c r="J40" s="96"/>
      <c r="K40" s="96"/>
      <c r="L40" s="96"/>
      <c r="M40" s="96"/>
      <c r="N40" s="96"/>
      <c r="O40" s="96"/>
      <c r="P40" s="96"/>
      <c r="Q40" s="97"/>
      <c r="R40" s="97"/>
      <c r="S40" s="97"/>
      <c r="T40" s="97"/>
      <c r="U40" s="119"/>
      <c r="V40" s="119"/>
      <c r="W40" s="97"/>
      <c r="X40" s="97"/>
      <c r="Y40" s="97"/>
      <c r="Z40" s="97"/>
      <c r="AA40" s="97"/>
      <c r="AB40" s="136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133">
        <v>5</v>
      </c>
      <c r="AY40" s="97"/>
      <c r="AZ40" s="97"/>
      <c r="BA40" s="97"/>
      <c r="BB40" s="67">
        <f t="shared" si="1"/>
        <v>5</v>
      </c>
      <c r="BC40" s="153"/>
      <c r="BD40" s="91"/>
    </row>
    <row r="41" spans="1:56" ht="18.75" customHeight="1" x14ac:dyDescent="0.25">
      <c r="A41" s="140"/>
      <c r="B41" s="216"/>
      <c r="C41" s="149"/>
      <c r="D41" s="152"/>
      <c r="E41" s="152"/>
      <c r="F41" s="190"/>
      <c r="G41" s="190"/>
      <c r="H41" s="211"/>
      <c r="I41" s="107" t="s">
        <v>39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75"/>
      <c r="V41" s="68"/>
      <c r="W41" s="68"/>
      <c r="X41" s="68"/>
      <c r="Y41" s="68"/>
      <c r="Z41" s="68"/>
      <c r="AA41" s="68"/>
      <c r="AB41" s="136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>
        <v>5</v>
      </c>
      <c r="AR41" s="68">
        <v>5</v>
      </c>
      <c r="AS41" s="68">
        <v>4</v>
      </c>
      <c r="AT41" s="68">
        <v>2</v>
      </c>
      <c r="AU41" s="68">
        <v>1</v>
      </c>
      <c r="AV41" s="68">
        <v>1</v>
      </c>
      <c r="AW41" s="68">
        <v>1</v>
      </c>
      <c r="AX41" s="68">
        <v>1</v>
      </c>
      <c r="AY41" s="68"/>
      <c r="AZ41" s="68"/>
      <c r="BA41" s="68"/>
      <c r="BB41" s="67">
        <f t="shared" si="1"/>
        <v>20</v>
      </c>
      <c r="BC41" s="153"/>
      <c r="BD41" s="91"/>
    </row>
    <row r="42" spans="1:56" ht="20.25" customHeight="1" x14ac:dyDescent="0.25">
      <c r="A42" s="138">
        <v>10</v>
      </c>
      <c r="B42" s="214" t="s">
        <v>49</v>
      </c>
      <c r="C42" s="147">
        <v>3</v>
      </c>
      <c r="D42" s="150">
        <v>66</v>
      </c>
      <c r="E42" s="150">
        <v>75</v>
      </c>
      <c r="F42" s="189">
        <v>60</v>
      </c>
      <c r="G42" s="210">
        <v>9</v>
      </c>
      <c r="H42" s="189">
        <v>6</v>
      </c>
      <c r="I42" s="107" t="s">
        <v>37</v>
      </c>
      <c r="J42" s="96"/>
      <c r="K42" s="96"/>
      <c r="L42" s="96"/>
      <c r="M42" s="96"/>
      <c r="N42" s="96"/>
      <c r="O42" s="96"/>
      <c r="P42" s="96"/>
      <c r="Q42" s="123"/>
      <c r="R42" s="96"/>
      <c r="S42" s="96"/>
      <c r="T42" s="96"/>
      <c r="U42" s="96"/>
      <c r="V42" s="96"/>
      <c r="W42" s="97"/>
      <c r="X42" s="97"/>
      <c r="Y42" s="97"/>
      <c r="Z42" s="97"/>
      <c r="AA42" s="97"/>
      <c r="AB42" s="136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>
        <v>3</v>
      </c>
      <c r="AR42" s="97">
        <v>9</v>
      </c>
      <c r="AS42" s="97">
        <v>9</v>
      </c>
      <c r="AT42" s="97">
        <v>9</v>
      </c>
      <c r="AU42" s="97">
        <v>9</v>
      </c>
      <c r="AV42" s="97">
        <v>9</v>
      </c>
      <c r="AW42" s="97">
        <v>9</v>
      </c>
      <c r="AX42" s="134">
        <v>3</v>
      </c>
      <c r="AY42" s="97"/>
      <c r="AZ42" s="97"/>
      <c r="BA42" s="97"/>
      <c r="BB42" s="67">
        <f t="shared" si="1"/>
        <v>60</v>
      </c>
      <c r="BC42" s="153" t="s">
        <v>30</v>
      </c>
      <c r="BD42" s="91"/>
    </row>
    <row r="43" spans="1:56" ht="20.25" customHeight="1" x14ac:dyDescent="0.25">
      <c r="A43" s="139"/>
      <c r="B43" s="215"/>
      <c r="C43" s="148"/>
      <c r="D43" s="151"/>
      <c r="E43" s="151"/>
      <c r="F43" s="190"/>
      <c r="G43" s="211"/>
      <c r="H43" s="190"/>
      <c r="I43" s="107" t="s">
        <v>38</v>
      </c>
      <c r="J43" s="96"/>
      <c r="K43" s="96"/>
      <c r="L43" s="96"/>
      <c r="M43" s="96"/>
      <c r="N43" s="96"/>
      <c r="O43" s="96"/>
      <c r="P43" s="96"/>
      <c r="Q43" s="123"/>
      <c r="R43" s="96"/>
      <c r="S43" s="96"/>
      <c r="T43" s="96"/>
      <c r="U43" s="96"/>
      <c r="V43" s="96"/>
      <c r="W43" s="97"/>
      <c r="X43" s="97"/>
      <c r="Y43" s="97"/>
      <c r="Z43" s="97"/>
      <c r="AA43" s="97"/>
      <c r="AB43" s="136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133">
        <v>6</v>
      </c>
      <c r="AY43" s="97"/>
      <c r="AZ43" s="97"/>
      <c r="BA43" s="97"/>
      <c r="BB43" s="67">
        <f t="shared" si="1"/>
        <v>6</v>
      </c>
      <c r="BC43" s="153"/>
      <c r="BD43" s="91"/>
    </row>
    <row r="44" spans="1:56" ht="15.75" customHeight="1" x14ac:dyDescent="0.25">
      <c r="A44" s="140"/>
      <c r="B44" s="216"/>
      <c r="C44" s="149"/>
      <c r="D44" s="152"/>
      <c r="E44" s="152"/>
      <c r="F44" s="191"/>
      <c r="G44" s="212"/>
      <c r="H44" s="191"/>
      <c r="I44" s="107" t="s">
        <v>39</v>
      </c>
      <c r="J44" s="61"/>
      <c r="K44" s="61"/>
      <c r="L44" s="61"/>
      <c r="M44" s="61"/>
      <c r="N44" s="61"/>
      <c r="O44" s="61"/>
      <c r="P44" s="61"/>
      <c r="Q44" s="79"/>
      <c r="R44" s="61"/>
      <c r="S44" s="61"/>
      <c r="T44" s="61"/>
      <c r="U44" s="61"/>
      <c r="V44" s="61"/>
      <c r="W44" s="68"/>
      <c r="X44" s="68"/>
      <c r="Y44" s="68"/>
      <c r="Z44" s="68"/>
      <c r="AA44" s="68"/>
      <c r="AB44" s="136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>
        <v>1</v>
      </c>
      <c r="AR44" s="68">
        <v>1</v>
      </c>
      <c r="AS44" s="68">
        <v>1</v>
      </c>
      <c r="AT44" s="68">
        <v>1</v>
      </c>
      <c r="AU44" s="68">
        <v>2</v>
      </c>
      <c r="AV44" s="68">
        <v>1</v>
      </c>
      <c r="AW44" s="68">
        <v>1</v>
      </c>
      <c r="AX44" s="68">
        <v>1</v>
      </c>
      <c r="AY44" s="68"/>
      <c r="AZ44" s="68"/>
      <c r="BA44" s="68"/>
      <c r="BB44" s="67">
        <f t="shared" si="1"/>
        <v>9</v>
      </c>
      <c r="BC44" s="153"/>
      <c r="BD44" s="91"/>
    </row>
    <row r="45" spans="1:56" ht="18" customHeight="1" x14ac:dyDescent="0.25">
      <c r="A45" s="138">
        <v>11</v>
      </c>
      <c r="B45" s="186" t="s">
        <v>50</v>
      </c>
      <c r="C45" s="147">
        <v>4</v>
      </c>
      <c r="D45" s="150">
        <v>92</v>
      </c>
      <c r="E45" s="150">
        <v>100</v>
      </c>
      <c r="F45" s="189">
        <v>89</v>
      </c>
      <c r="G45" s="210">
        <v>8</v>
      </c>
      <c r="H45" s="189">
        <v>3</v>
      </c>
      <c r="I45" s="107" t="s">
        <v>37</v>
      </c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6"/>
      <c r="X45" s="76"/>
      <c r="Y45" s="76"/>
      <c r="Z45" s="76"/>
      <c r="AA45" s="76">
        <v>6</v>
      </c>
      <c r="AB45" s="136"/>
      <c r="AC45" s="76">
        <v>6</v>
      </c>
      <c r="AD45" s="76">
        <v>6</v>
      </c>
      <c r="AE45" s="76">
        <v>6</v>
      </c>
      <c r="AF45" s="76">
        <v>6</v>
      </c>
      <c r="AG45" s="76">
        <v>6</v>
      </c>
      <c r="AH45" s="76">
        <v>6</v>
      </c>
      <c r="AI45" s="134">
        <v>4</v>
      </c>
      <c r="AJ45" s="76">
        <v>6</v>
      </c>
      <c r="AK45" s="76">
        <v>6</v>
      </c>
      <c r="AL45" s="76">
        <v>6</v>
      </c>
      <c r="AM45" s="76">
        <v>6</v>
      </c>
      <c r="AN45" s="76">
        <v>6</v>
      </c>
      <c r="AO45" s="76">
        <v>6</v>
      </c>
      <c r="AP45" s="76">
        <v>6</v>
      </c>
      <c r="AQ45" s="134">
        <v>1</v>
      </c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67">
        <f t="shared" si="1"/>
        <v>89</v>
      </c>
      <c r="BC45" s="153" t="s">
        <v>31</v>
      </c>
      <c r="BD45" s="91"/>
    </row>
    <row r="46" spans="1:56" ht="20.25" customHeight="1" x14ac:dyDescent="0.25">
      <c r="A46" s="139"/>
      <c r="B46" s="187"/>
      <c r="C46" s="148"/>
      <c r="D46" s="151"/>
      <c r="E46" s="151"/>
      <c r="F46" s="190"/>
      <c r="G46" s="211"/>
      <c r="H46" s="190"/>
      <c r="I46" s="107" t="s">
        <v>38</v>
      </c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6"/>
      <c r="X46" s="76"/>
      <c r="Y46" s="76"/>
      <c r="Z46" s="76"/>
      <c r="AA46" s="76"/>
      <c r="AB46" s="136"/>
      <c r="AC46" s="76"/>
      <c r="AD46" s="76"/>
      <c r="AE46" s="76"/>
      <c r="AF46" s="76"/>
      <c r="AG46" s="76"/>
      <c r="AH46" s="76"/>
      <c r="AI46" s="133">
        <v>2</v>
      </c>
      <c r="AJ46" s="76"/>
      <c r="AK46" s="76"/>
      <c r="AL46" s="76"/>
      <c r="AM46" s="76"/>
      <c r="AN46" s="76"/>
      <c r="AO46" s="76"/>
      <c r="AP46" s="76"/>
      <c r="AQ46" s="133">
        <v>1</v>
      </c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67">
        <f t="shared" si="1"/>
        <v>3</v>
      </c>
      <c r="BC46" s="153"/>
      <c r="BD46" s="91"/>
    </row>
    <row r="47" spans="1:56" ht="16.5" customHeight="1" x14ac:dyDescent="0.25">
      <c r="A47" s="140"/>
      <c r="B47" s="188"/>
      <c r="C47" s="149"/>
      <c r="D47" s="152"/>
      <c r="E47" s="152"/>
      <c r="F47" s="191"/>
      <c r="G47" s="212"/>
      <c r="H47" s="191"/>
      <c r="I47" s="107" t="s">
        <v>39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8"/>
      <c r="X47" s="68"/>
      <c r="Y47" s="68"/>
      <c r="Z47" s="68"/>
      <c r="AA47" s="63">
        <v>1</v>
      </c>
      <c r="AB47" s="136"/>
      <c r="AC47" s="63">
        <v>1</v>
      </c>
      <c r="AD47" s="63"/>
      <c r="AE47" s="63">
        <v>1</v>
      </c>
      <c r="AF47" s="63"/>
      <c r="AG47" s="63"/>
      <c r="AH47" s="68">
        <v>1</v>
      </c>
      <c r="AI47" s="68"/>
      <c r="AJ47" s="68">
        <v>1</v>
      </c>
      <c r="AK47" s="68"/>
      <c r="AL47" s="68">
        <v>1</v>
      </c>
      <c r="AM47" s="68"/>
      <c r="AN47" s="68">
        <v>1</v>
      </c>
      <c r="AO47" s="68"/>
      <c r="AP47" s="68">
        <v>1</v>
      </c>
      <c r="AQ47" s="68"/>
      <c r="AR47" s="68"/>
      <c r="AS47" s="68"/>
      <c r="AT47" s="70"/>
      <c r="AU47" s="70"/>
      <c r="AV47" s="68"/>
      <c r="AW47" s="68"/>
      <c r="AX47" s="68"/>
      <c r="AY47" s="68"/>
      <c r="AZ47" s="68"/>
      <c r="BA47" s="68"/>
      <c r="BB47" s="67">
        <f t="shared" si="1"/>
        <v>8</v>
      </c>
      <c r="BC47" s="153"/>
      <c r="BD47" s="91"/>
    </row>
    <row r="48" spans="1:56" ht="17.25" customHeight="1" x14ac:dyDescent="0.25">
      <c r="A48" s="138">
        <v>12</v>
      </c>
      <c r="B48" s="214" t="s">
        <v>51</v>
      </c>
      <c r="C48" s="147">
        <v>3</v>
      </c>
      <c r="D48" s="150">
        <v>62</v>
      </c>
      <c r="E48" s="150">
        <v>75</v>
      </c>
      <c r="F48" s="189">
        <v>60</v>
      </c>
      <c r="G48" s="192">
        <v>13</v>
      </c>
      <c r="H48" s="190">
        <v>2</v>
      </c>
      <c r="I48" s="107" t="s">
        <v>37</v>
      </c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7"/>
      <c r="AB48" s="136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>
        <v>9</v>
      </c>
      <c r="AS48" s="97">
        <v>9</v>
      </c>
      <c r="AT48" s="97">
        <v>9</v>
      </c>
      <c r="AU48" s="97">
        <v>9</v>
      </c>
      <c r="AV48" s="97">
        <v>9</v>
      </c>
      <c r="AW48" s="97">
        <v>9</v>
      </c>
      <c r="AX48" s="134">
        <v>6</v>
      </c>
      <c r="AY48" s="97"/>
      <c r="AZ48" s="97"/>
      <c r="BA48" s="97"/>
      <c r="BB48" s="67">
        <f t="shared" si="1"/>
        <v>60</v>
      </c>
      <c r="BC48" s="153" t="s">
        <v>32</v>
      </c>
      <c r="BD48" s="91"/>
    </row>
    <row r="49" spans="1:56" ht="17.25" customHeight="1" x14ac:dyDescent="0.25">
      <c r="A49" s="139"/>
      <c r="B49" s="215"/>
      <c r="C49" s="148"/>
      <c r="D49" s="151"/>
      <c r="E49" s="151"/>
      <c r="F49" s="190"/>
      <c r="G49" s="193"/>
      <c r="H49" s="190"/>
      <c r="I49" s="107" t="s">
        <v>38</v>
      </c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7"/>
      <c r="AB49" s="136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6"/>
      <c r="AU49" s="96"/>
      <c r="AV49" s="97"/>
      <c r="AW49" s="97"/>
      <c r="AX49" s="133">
        <v>2</v>
      </c>
      <c r="AY49" s="97"/>
      <c r="AZ49" s="97"/>
      <c r="BA49" s="97"/>
      <c r="BB49" s="67">
        <f t="shared" si="1"/>
        <v>2</v>
      </c>
      <c r="BC49" s="153"/>
      <c r="BD49" s="91"/>
    </row>
    <row r="50" spans="1:56" ht="14.25" customHeight="1" x14ac:dyDescent="0.25">
      <c r="A50" s="140"/>
      <c r="B50" s="216"/>
      <c r="C50" s="149"/>
      <c r="D50" s="152"/>
      <c r="E50" s="152"/>
      <c r="F50" s="191"/>
      <c r="G50" s="194"/>
      <c r="H50" s="191"/>
      <c r="I50" s="107" t="s">
        <v>39</v>
      </c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8"/>
      <c r="AB50" s="136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>
        <v>2</v>
      </c>
      <c r="AS50" s="68">
        <v>2</v>
      </c>
      <c r="AT50" s="68">
        <v>2</v>
      </c>
      <c r="AU50" s="68">
        <v>2</v>
      </c>
      <c r="AV50" s="68">
        <v>2</v>
      </c>
      <c r="AW50" s="68">
        <v>2</v>
      </c>
      <c r="AX50" s="68">
        <v>1</v>
      </c>
      <c r="AY50" s="68"/>
      <c r="AZ50" s="68"/>
      <c r="BA50" s="68"/>
      <c r="BB50" s="67">
        <f t="shared" si="1"/>
        <v>13</v>
      </c>
      <c r="BC50" s="153"/>
      <c r="BD50" s="91"/>
    </row>
    <row r="51" spans="1:56" ht="14.25" customHeight="1" x14ac:dyDescent="0.25">
      <c r="A51" s="138">
        <v>13</v>
      </c>
      <c r="B51" s="174" t="s">
        <v>52</v>
      </c>
      <c r="C51" s="147">
        <v>4</v>
      </c>
      <c r="D51" s="150">
        <v>63</v>
      </c>
      <c r="E51" s="150">
        <v>100</v>
      </c>
      <c r="F51" s="189">
        <v>60</v>
      </c>
      <c r="G51" s="189">
        <v>37</v>
      </c>
      <c r="H51" s="189">
        <v>3</v>
      </c>
      <c r="I51" s="107" t="s">
        <v>37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1"/>
      <c r="V51" s="120"/>
      <c r="W51" s="120"/>
      <c r="X51" s="120"/>
      <c r="Y51" s="120"/>
      <c r="Z51" s="120"/>
      <c r="AA51" s="122"/>
      <c r="AB51" s="136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32">
        <v>15</v>
      </c>
      <c r="AZ51" s="132">
        <v>24</v>
      </c>
      <c r="BA51" s="134">
        <v>21</v>
      </c>
      <c r="BB51" s="67">
        <f t="shared" si="1"/>
        <v>60</v>
      </c>
      <c r="BC51" s="153"/>
      <c r="BD51" s="91"/>
    </row>
    <row r="52" spans="1:56" ht="14.25" customHeight="1" x14ac:dyDescent="0.25">
      <c r="A52" s="139"/>
      <c r="B52" s="175"/>
      <c r="C52" s="148"/>
      <c r="D52" s="151"/>
      <c r="E52" s="151"/>
      <c r="F52" s="190"/>
      <c r="G52" s="190"/>
      <c r="H52" s="190"/>
      <c r="I52" s="107" t="s">
        <v>38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1"/>
      <c r="V52" s="120"/>
      <c r="W52" s="120"/>
      <c r="X52" s="120"/>
      <c r="Y52" s="120"/>
      <c r="Z52" s="120"/>
      <c r="AA52" s="122"/>
      <c r="AB52" s="136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33">
        <v>3</v>
      </c>
      <c r="BB52" s="67">
        <f>SUM(AP52:BA52)</f>
        <v>3</v>
      </c>
      <c r="BC52" s="153"/>
      <c r="BD52" s="91"/>
    </row>
    <row r="53" spans="1:56" ht="14.25" customHeight="1" x14ac:dyDescent="0.25">
      <c r="A53" s="140"/>
      <c r="B53" s="176"/>
      <c r="C53" s="149"/>
      <c r="D53" s="152"/>
      <c r="E53" s="152"/>
      <c r="F53" s="191"/>
      <c r="G53" s="191"/>
      <c r="H53" s="191"/>
      <c r="I53" s="107" t="s">
        <v>39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118"/>
      <c r="V53" s="61"/>
      <c r="W53" s="61"/>
      <c r="X53" s="61"/>
      <c r="Y53" s="61"/>
      <c r="Z53" s="61"/>
      <c r="AA53" s="68"/>
      <c r="AB53" s="136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>
        <v>9</v>
      </c>
      <c r="AZ53" s="68">
        <v>14</v>
      </c>
      <c r="BA53" s="68">
        <v>14</v>
      </c>
      <c r="BB53" s="67">
        <f>SUM(AP53:BA53)</f>
        <v>37</v>
      </c>
      <c r="BC53" s="153"/>
      <c r="BD53" s="91"/>
    </row>
    <row r="54" spans="1:56" ht="18.75" customHeight="1" x14ac:dyDescent="0.25">
      <c r="A54" s="61"/>
      <c r="B54" s="129" t="s">
        <v>20</v>
      </c>
      <c r="C54" s="130">
        <f t="shared" ref="C54:H54" si="2">SUM(C5:C53)</f>
        <v>60</v>
      </c>
      <c r="D54" s="130">
        <f t="shared" si="2"/>
        <v>1265</v>
      </c>
      <c r="E54" s="130">
        <f t="shared" si="2"/>
        <v>1500</v>
      </c>
      <c r="F54" s="131">
        <f t="shared" si="2"/>
        <v>1180</v>
      </c>
      <c r="G54" s="131">
        <f t="shared" si="2"/>
        <v>235</v>
      </c>
      <c r="H54" s="131">
        <f t="shared" si="2"/>
        <v>85</v>
      </c>
      <c r="I54" s="100"/>
      <c r="J54" s="69">
        <f t="shared" ref="J54:AM54" si="3">SUM(J5:J50)</f>
        <v>35</v>
      </c>
      <c r="K54" s="69">
        <f t="shared" si="3"/>
        <v>34</v>
      </c>
      <c r="L54" s="69">
        <f t="shared" si="3"/>
        <v>35.5</v>
      </c>
      <c r="M54" s="69">
        <f t="shared" si="3"/>
        <v>34.5</v>
      </c>
      <c r="N54" s="69">
        <f t="shared" si="3"/>
        <v>36</v>
      </c>
      <c r="O54" s="69">
        <f t="shared" si="3"/>
        <v>32.5</v>
      </c>
      <c r="P54" s="69">
        <f t="shared" si="3"/>
        <v>35</v>
      </c>
      <c r="Q54" s="69">
        <f t="shared" si="3"/>
        <v>35</v>
      </c>
      <c r="R54" s="69">
        <f t="shared" si="3"/>
        <v>34</v>
      </c>
      <c r="S54" s="69">
        <f t="shared" si="3"/>
        <v>35.5</v>
      </c>
      <c r="T54" s="69">
        <f t="shared" si="3"/>
        <v>34.5</v>
      </c>
      <c r="U54" s="80">
        <f t="shared" si="3"/>
        <v>35</v>
      </c>
      <c r="V54" s="69">
        <f t="shared" si="3"/>
        <v>35</v>
      </c>
      <c r="W54" s="69">
        <f t="shared" si="3"/>
        <v>34</v>
      </c>
      <c r="X54" s="69">
        <f t="shared" si="3"/>
        <v>34</v>
      </c>
      <c r="Y54" s="69">
        <f t="shared" si="3"/>
        <v>35</v>
      </c>
      <c r="Z54" s="69">
        <f t="shared" si="3"/>
        <v>34</v>
      </c>
      <c r="AA54" s="69">
        <f t="shared" si="3"/>
        <v>33.5</v>
      </c>
      <c r="AB54" s="137"/>
      <c r="AC54" s="69">
        <f t="shared" si="3"/>
        <v>34.5</v>
      </c>
      <c r="AD54" s="62">
        <f t="shared" si="3"/>
        <v>34</v>
      </c>
      <c r="AE54" s="62">
        <f t="shared" si="3"/>
        <v>35</v>
      </c>
      <c r="AF54" s="69">
        <f t="shared" si="3"/>
        <v>36</v>
      </c>
      <c r="AG54" s="69">
        <f t="shared" si="3"/>
        <v>33</v>
      </c>
      <c r="AH54" s="69">
        <f t="shared" si="3"/>
        <v>33.5</v>
      </c>
      <c r="AI54" s="69">
        <f t="shared" si="3"/>
        <v>38</v>
      </c>
      <c r="AJ54" s="69">
        <f t="shared" si="3"/>
        <v>36.5</v>
      </c>
      <c r="AK54" s="69">
        <f t="shared" si="3"/>
        <v>38</v>
      </c>
      <c r="AL54" s="69">
        <f t="shared" si="3"/>
        <v>35.5</v>
      </c>
      <c r="AM54" s="69">
        <f t="shared" si="3"/>
        <v>32</v>
      </c>
      <c r="AN54" s="69">
        <f t="shared" ref="AN54:AW54" si="4">SUM(AN11:AN50)</f>
        <v>34.5</v>
      </c>
      <c r="AO54" s="69">
        <f t="shared" si="4"/>
        <v>34</v>
      </c>
      <c r="AP54" s="69">
        <f t="shared" si="4"/>
        <v>35</v>
      </c>
      <c r="AQ54" s="69">
        <f t="shared" si="4"/>
        <v>36</v>
      </c>
      <c r="AR54" s="69">
        <f t="shared" si="4"/>
        <v>38</v>
      </c>
      <c r="AS54" s="69">
        <f t="shared" si="4"/>
        <v>37</v>
      </c>
      <c r="AT54" s="69">
        <f t="shared" si="4"/>
        <v>36</v>
      </c>
      <c r="AU54" s="69">
        <f t="shared" si="4"/>
        <v>35</v>
      </c>
      <c r="AV54" s="69">
        <f t="shared" si="4"/>
        <v>35</v>
      </c>
      <c r="AW54" s="69">
        <f t="shared" si="4"/>
        <v>34</v>
      </c>
      <c r="AX54" s="69">
        <f>SUM(AX11:AX50)</f>
        <v>32.5</v>
      </c>
      <c r="AY54" s="69">
        <f>SUM(AY11:AY53)</f>
        <v>29</v>
      </c>
      <c r="AZ54" s="69">
        <f>SUM(AZ11:AZ53)</f>
        <v>38</v>
      </c>
      <c r="BA54" s="68">
        <f>SUM(BA11:BA53)</f>
        <v>38</v>
      </c>
      <c r="BB54" s="87">
        <f>SUM(BB5:BB53)</f>
        <v>1500</v>
      </c>
      <c r="BC54" s="153"/>
      <c r="BD54" s="92"/>
    </row>
    <row r="55" spans="1:56" ht="18.75" customHeight="1" x14ac:dyDescent="0.25">
      <c r="A55" s="61"/>
      <c r="B55" s="81"/>
      <c r="C55" s="82"/>
      <c r="D55" s="82"/>
      <c r="E55" s="83"/>
      <c r="F55" s="156" t="s">
        <v>0</v>
      </c>
      <c r="G55" s="156"/>
      <c r="H55" s="156"/>
      <c r="I55" s="106"/>
      <c r="J55" s="111">
        <v>1</v>
      </c>
      <c r="K55" s="111">
        <v>2</v>
      </c>
      <c r="L55" s="111">
        <v>3</v>
      </c>
      <c r="M55" s="111">
        <v>4</v>
      </c>
      <c r="N55" s="111">
        <v>5</v>
      </c>
      <c r="O55" s="111">
        <v>6</v>
      </c>
      <c r="P55" s="111">
        <v>7</v>
      </c>
      <c r="Q55" s="111">
        <v>8</v>
      </c>
      <c r="R55" s="111">
        <v>9</v>
      </c>
      <c r="S55" s="111">
        <v>10</v>
      </c>
      <c r="T55" s="111">
        <v>11</v>
      </c>
      <c r="U55" s="111">
        <v>12</v>
      </c>
      <c r="V55" s="111">
        <v>13</v>
      </c>
      <c r="W55" s="111">
        <v>14</v>
      </c>
      <c r="X55" s="111">
        <v>15</v>
      </c>
      <c r="Y55" s="111">
        <v>16</v>
      </c>
      <c r="Z55" s="111">
        <v>17</v>
      </c>
      <c r="AA55" s="111">
        <v>18</v>
      </c>
      <c r="AB55" s="111">
        <v>19</v>
      </c>
      <c r="AC55" s="111">
        <v>20</v>
      </c>
      <c r="AD55" s="111">
        <v>21</v>
      </c>
      <c r="AE55" s="111">
        <v>22</v>
      </c>
      <c r="AF55" s="111">
        <v>23</v>
      </c>
      <c r="AG55" s="111">
        <v>24</v>
      </c>
      <c r="AH55" s="111">
        <v>25</v>
      </c>
      <c r="AI55" s="111">
        <v>26</v>
      </c>
      <c r="AJ55" s="111">
        <v>27</v>
      </c>
      <c r="AK55" s="111">
        <v>28</v>
      </c>
      <c r="AL55" s="111">
        <v>29</v>
      </c>
      <c r="AM55" s="111">
        <v>30</v>
      </c>
      <c r="AN55" s="111">
        <v>31</v>
      </c>
      <c r="AO55" s="111">
        <v>32</v>
      </c>
      <c r="AP55" s="111">
        <v>33</v>
      </c>
      <c r="AQ55" s="111">
        <v>34</v>
      </c>
      <c r="AR55" s="111">
        <v>35</v>
      </c>
      <c r="AS55" s="111">
        <v>36</v>
      </c>
      <c r="AT55" s="111">
        <v>37</v>
      </c>
      <c r="AU55" s="111">
        <v>38</v>
      </c>
      <c r="AV55" s="111">
        <v>39</v>
      </c>
      <c r="AW55" s="111">
        <v>40</v>
      </c>
      <c r="AX55" s="111">
        <v>41</v>
      </c>
      <c r="AY55" s="111">
        <v>42</v>
      </c>
      <c r="AZ55" s="111">
        <v>43</v>
      </c>
      <c r="BA55" s="111">
        <v>44</v>
      </c>
      <c r="BB55" s="84"/>
      <c r="BD55" s="93"/>
    </row>
    <row r="56" spans="1:56" ht="9.75" customHeight="1" x14ac:dyDescent="0.25">
      <c r="B56" s="50"/>
      <c r="C56" s="51"/>
      <c r="D56" s="51"/>
      <c r="E56" s="51"/>
      <c r="F56" s="51"/>
      <c r="G56" s="51"/>
      <c r="H56" s="51"/>
      <c r="I56" s="51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52"/>
      <c r="U56" s="52"/>
      <c r="V56" s="52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52"/>
      <c r="AH56" s="46"/>
      <c r="AI56" s="46"/>
      <c r="AJ56" s="46"/>
      <c r="AK56" s="52"/>
      <c r="AL56" s="52"/>
      <c r="AM56" s="52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52"/>
      <c r="AY56" s="52"/>
      <c r="AZ56" s="52"/>
      <c r="BA56" s="52"/>
      <c r="BB56" s="46"/>
      <c r="BD56" s="46"/>
    </row>
    <row r="57" spans="1:56" ht="19.5" customHeight="1" x14ac:dyDescent="0.25">
      <c r="A57" s="68">
        <v>14</v>
      </c>
      <c r="B57" s="85" t="s">
        <v>11</v>
      </c>
      <c r="C57" s="88">
        <v>15</v>
      </c>
      <c r="D57" s="48">
        <v>295</v>
      </c>
      <c r="E57" s="48">
        <v>375</v>
      </c>
      <c r="F57" s="48">
        <v>283</v>
      </c>
      <c r="G57" s="48">
        <v>80</v>
      </c>
      <c r="H57" s="48">
        <v>12</v>
      </c>
      <c r="I57" s="102"/>
      <c r="J57" s="53">
        <v>36</v>
      </c>
      <c r="K57" s="53">
        <v>36</v>
      </c>
      <c r="L57" s="53">
        <v>34</v>
      </c>
      <c r="M57" s="53">
        <v>40</v>
      </c>
      <c r="N57" s="53">
        <v>40</v>
      </c>
      <c r="O57" s="53">
        <v>40</v>
      </c>
      <c r="P57" s="53">
        <v>40</v>
      </c>
      <c r="Q57" s="53">
        <v>40</v>
      </c>
      <c r="R57" s="53">
        <v>40</v>
      </c>
      <c r="S57" s="54">
        <v>29</v>
      </c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46"/>
      <c r="AF57" s="46"/>
      <c r="AG57" s="47"/>
      <c r="AH57" s="209" t="s">
        <v>18</v>
      </c>
      <c r="AI57" s="209"/>
      <c r="AJ57" s="209"/>
      <c r="AK57" s="209"/>
      <c r="AL57" s="209"/>
      <c r="AM57" s="209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94"/>
      <c r="BD57" s="46"/>
    </row>
    <row r="58" spans="1:56" ht="21.75" customHeight="1" x14ac:dyDescent="0.25">
      <c r="A58" s="69">
        <v>15</v>
      </c>
      <c r="B58" s="86" t="s">
        <v>14</v>
      </c>
      <c r="C58" s="89">
        <v>15</v>
      </c>
      <c r="D58" s="56">
        <v>296</v>
      </c>
      <c r="E58" s="56">
        <v>375</v>
      </c>
      <c r="F58" s="56">
        <v>284</v>
      </c>
      <c r="G58" s="57">
        <v>79</v>
      </c>
      <c r="H58" s="57">
        <v>12</v>
      </c>
      <c r="I58" s="57"/>
      <c r="J58" s="55"/>
      <c r="K58" s="55"/>
      <c r="L58" s="55"/>
      <c r="M58" s="55"/>
      <c r="N58" s="55"/>
      <c r="O58" s="55"/>
      <c r="P58" s="55"/>
      <c r="Q58" s="55"/>
      <c r="R58" s="55"/>
      <c r="S58" s="57"/>
      <c r="T58" s="53">
        <v>39</v>
      </c>
      <c r="U58" s="53">
        <v>39</v>
      </c>
      <c r="V58" s="53">
        <v>40</v>
      </c>
      <c r="W58" s="53">
        <v>40</v>
      </c>
      <c r="X58" s="53">
        <v>40</v>
      </c>
      <c r="Y58" s="53">
        <v>40</v>
      </c>
      <c r="Z58" s="53">
        <v>34</v>
      </c>
      <c r="AA58" s="53">
        <v>39</v>
      </c>
      <c r="AB58" s="53"/>
      <c r="AC58" s="53">
        <v>38</v>
      </c>
      <c r="AD58" s="54">
        <v>26</v>
      </c>
      <c r="AE58" s="46"/>
      <c r="AF58" s="46"/>
      <c r="AG58" s="124"/>
      <c r="AH58" s="180" t="s">
        <v>15</v>
      </c>
      <c r="AI58" s="181"/>
      <c r="AJ58" s="181"/>
      <c r="AK58" s="181"/>
      <c r="AL58" s="181"/>
      <c r="AM58" s="182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94"/>
      <c r="BD58" s="46"/>
    </row>
    <row r="59" spans="1:56" ht="21" customHeight="1" x14ac:dyDescent="0.25">
      <c r="B59" s="46"/>
      <c r="C59" s="46"/>
      <c r="D59" s="46"/>
      <c r="E59" s="46"/>
      <c r="F59" s="46"/>
      <c r="G59" s="46"/>
      <c r="H59" s="46"/>
      <c r="I59" s="46"/>
      <c r="J59" s="58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9"/>
      <c r="AH59" s="180" t="s">
        <v>17</v>
      </c>
      <c r="AI59" s="181"/>
      <c r="AJ59" s="181"/>
      <c r="AK59" s="181"/>
      <c r="AL59" s="181"/>
      <c r="AM59" s="182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D59" s="46"/>
    </row>
    <row r="60" spans="1:56" ht="21" customHeight="1" x14ac:dyDescent="0.25">
      <c r="B60" s="46"/>
      <c r="C60" s="46"/>
      <c r="D60" s="46"/>
      <c r="E60" s="46"/>
      <c r="F60" s="46"/>
      <c r="G60" s="46"/>
      <c r="H60" s="58"/>
      <c r="I60" s="58"/>
      <c r="J60" s="58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127"/>
      <c r="AH60" s="180" t="s">
        <v>16</v>
      </c>
      <c r="AI60" s="181"/>
      <c r="AJ60" s="181"/>
      <c r="AK60" s="181"/>
      <c r="AL60" s="181"/>
      <c r="AM60" s="182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D60" s="46"/>
    </row>
    <row r="61" spans="1:56" ht="26.25" customHeight="1" x14ac:dyDescent="0.25"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128"/>
      <c r="AH61" s="180" t="s">
        <v>55</v>
      </c>
      <c r="AI61" s="181"/>
      <c r="AJ61" s="181"/>
      <c r="AK61" s="181"/>
      <c r="AL61" s="181"/>
      <c r="AM61" s="182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D61" s="46"/>
    </row>
  </sheetData>
  <mergeCells count="153">
    <mergeCell ref="C48:C50"/>
    <mergeCell ref="B48:B50"/>
    <mergeCell ref="B36:B38"/>
    <mergeCell ref="B39:B41"/>
    <mergeCell ref="G42:G44"/>
    <mergeCell ref="H42:H44"/>
    <mergeCell ref="C30:C32"/>
    <mergeCell ref="G33:G35"/>
    <mergeCell ref="A51:A53"/>
    <mergeCell ref="C51:C53"/>
    <mergeCell ref="D51:D53"/>
    <mergeCell ref="E51:E53"/>
    <mergeCell ref="F51:F53"/>
    <mergeCell ref="A48:A50"/>
    <mergeCell ref="B45:B47"/>
    <mergeCell ref="E42:E44"/>
    <mergeCell ref="C36:C38"/>
    <mergeCell ref="D36:D38"/>
    <mergeCell ref="E36:E38"/>
    <mergeCell ref="C39:C41"/>
    <mergeCell ref="D39:D41"/>
    <mergeCell ref="E39:E41"/>
    <mergeCell ref="A36:A38"/>
    <mergeCell ref="A39:A41"/>
    <mergeCell ref="C45:C47"/>
    <mergeCell ref="A42:A44"/>
    <mergeCell ref="A45:A47"/>
    <mergeCell ref="C42:C44"/>
    <mergeCell ref="G14:G16"/>
    <mergeCell ref="H14:H16"/>
    <mergeCell ref="B2:I2"/>
    <mergeCell ref="H11:H13"/>
    <mergeCell ref="AM1:BA1"/>
    <mergeCell ref="AH57:AM57"/>
    <mergeCell ref="H48:H50"/>
    <mergeCell ref="D45:D47"/>
    <mergeCell ref="E45:E47"/>
    <mergeCell ref="F45:F47"/>
    <mergeCell ref="G45:G47"/>
    <mergeCell ref="H45:H47"/>
    <mergeCell ref="D48:D50"/>
    <mergeCell ref="F48:F50"/>
    <mergeCell ref="G48:G50"/>
    <mergeCell ref="E48:E50"/>
    <mergeCell ref="G51:G53"/>
    <mergeCell ref="H51:H53"/>
    <mergeCell ref="D42:D44"/>
    <mergeCell ref="H17:H19"/>
    <mergeCell ref="C20:C22"/>
    <mergeCell ref="D20:D22"/>
    <mergeCell ref="B42:B44"/>
    <mergeCell ref="F33:F35"/>
    <mergeCell ref="A17:A19"/>
    <mergeCell ref="A20:A22"/>
    <mergeCell ref="C14:C16"/>
    <mergeCell ref="D14:D16"/>
    <mergeCell ref="E14:E16"/>
    <mergeCell ref="F14:F16"/>
    <mergeCell ref="C17:C19"/>
    <mergeCell ref="D17:D19"/>
    <mergeCell ref="E17:E19"/>
    <mergeCell ref="B14:B16"/>
    <mergeCell ref="B17:B19"/>
    <mergeCell ref="B20:B22"/>
    <mergeCell ref="E20:E22"/>
    <mergeCell ref="F20:F22"/>
    <mergeCell ref="AH58:AM58"/>
    <mergeCell ref="AH59:AM59"/>
    <mergeCell ref="AH61:AM61"/>
    <mergeCell ref="AH60:AM60"/>
    <mergeCell ref="C27:C29"/>
    <mergeCell ref="D27:D29"/>
    <mergeCell ref="E27:E29"/>
    <mergeCell ref="C33:C35"/>
    <mergeCell ref="D33:D35"/>
    <mergeCell ref="E33:E35"/>
    <mergeCell ref="G30:G32"/>
    <mergeCell ref="F27:F29"/>
    <mergeCell ref="G27:G29"/>
    <mergeCell ref="D30:D32"/>
    <mergeCell ref="E30:E32"/>
    <mergeCell ref="F30:F32"/>
    <mergeCell ref="H33:H35"/>
    <mergeCell ref="F39:F41"/>
    <mergeCell ref="G39:G41"/>
    <mergeCell ref="H39:H41"/>
    <mergeCell ref="F36:F38"/>
    <mergeCell ref="G36:G38"/>
    <mergeCell ref="H36:H38"/>
    <mergeCell ref="F42:F44"/>
    <mergeCell ref="J2:BA2"/>
    <mergeCell ref="F55:H55"/>
    <mergeCell ref="B5:B7"/>
    <mergeCell ref="B8:B10"/>
    <mergeCell ref="B11:B13"/>
    <mergeCell ref="E5:E7"/>
    <mergeCell ref="F5:F7"/>
    <mergeCell ref="G5:G7"/>
    <mergeCell ref="H5:H7"/>
    <mergeCell ref="E8:E10"/>
    <mergeCell ref="F8:F10"/>
    <mergeCell ref="G8:G10"/>
    <mergeCell ref="H8:H10"/>
    <mergeCell ref="E11:E13"/>
    <mergeCell ref="F11:F13"/>
    <mergeCell ref="G11:G13"/>
    <mergeCell ref="B24:B26"/>
    <mergeCell ref="C24:C26"/>
    <mergeCell ref="H24:H26"/>
    <mergeCell ref="B51:B53"/>
    <mergeCell ref="D24:D26"/>
    <mergeCell ref="E24:E26"/>
    <mergeCell ref="H27:H29"/>
    <mergeCell ref="H30:H32"/>
    <mergeCell ref="BC48:BC54"/>
    <mergeCell ref="BC45:BC47"/>
    <mergeCell ref="BC42:BC44"/>
    <mergeCell ref="BC39:BC41"/>
    <mergeCell ref="BC36:BC38"/>
    <mergeCell ref="BC33:BC35"/>
    <mergeCell ref="BC30:BC32"/>
    <mergeCell ref="BC27:BC29"/>
    <mergeCell ref="BC5:BC7"/>
    <mergeCell ref="BC8:BC10"/>
    <mergeCell ref="BC11:BC13"/>
    <mergeCell ref="BC14:BC16"/>
    <mergeCell ref="BC17:BC19"/>
    <mergeCell ref="BC20:BC22"/>
    <mergeCell ref="BC24:BC26"/>
    <mergeCell ref="AB5:AB54"/>
    <mergeCell ref="A5:A7"/>
    <mergeCell ref="A8:A10"/>
    <mergeCell ref="A11:A13"/>
    <mergeCell ref="C5:C7"/>
    <mergeCell ref="D5:D7"/>
    <mergeCell ref="C8:C10"/>
    <mergeCell ref="D8:D10"/>
    <mergeCell ref="C11:C13"/>
    <mergeCell ref="D11:D13"/>
    <mergeCell ref="A24:A26"/>
    <mergeCell ref="F17:F19"/>
    <mergeCell ref="G17:G19"/>
    <mergeCell ref="A27:A29"/>
    <mergeCell ref="A30:A32"/>
    <mergeCell ref="A33:A35"/>
    <mergeCell ref="B30:B32"/>
    <mergeCell ref="F24:F26"/>
    <mergeCell ref="B27:B29"/>
    <mergeCell ref="B33:B35"/>
    <mergeCell ref="G20:G22"/>
    <mergeCell ref="H20:H22"/>
    <mergeCell ref="G24:G26"/>
    <mergeCell ref="A14:A16"/>
  </mergeCells>
  <pageMargins left="0.51181102362204722" right="0.11811023622047245" top="0.74803149606299213" bottom="0.74803149606299213" header="0.31496062992125984" footer="0.31496062992125984"/>
  <pageSetup paperSize="9" pageOrder="overThenDown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5"/>
  <sheetViews>
    <sheetView workbookViewId="0">
      <pane xSplit="7" ySplit="1" topLeftCell="T2" activePane="bottomRight" state="frozen"/>
      <selection pane="topRight" activeCell="H1" sqref="H1"/>
      <selection pane="bottomLeft" activeCell="A2" sqref="A2"/>
      <selection pane="bottomRight" activeCell="B15" sqref="B15"/>
    </sheetView>
  </sheetViews>
  <sheetFormatPr defaultRowHeight="15" x14ac:dyDescent="0.25"/>
  <cols>
    <col min="1" max="1" width="2.85546875" customWidth="1"/>
    <col min="2" max="2" width="39.140625" customWidth="1"/>
    <col min="3" max="3" width="4.5703125" customWidth="1"/>
    <col min="4" max="4" width="6.28515625" customWidth="1"/>
    <col min="5" max="6" width="5.28515625" customWidth="1"/>
    <col min="7" max="7" width="4.7109375" customWidth="1"/>
    <col min="8" max="8" width="5.28515625" customWidth="1"/>
    <col min="9" max="50" width="4.28515625" customWidth="1"/>
    <col min="51" max="51" width="6.28515625" customWidth="1"/>
    <col min="52" max="60" width="4.28515625" customWidth="1"/>
    <col min="61" max="61" width="6.42578125" customWidth="1"/>
  </cols>
  <sheetData>
    <row r="1" spans="1:61" ht="15.75" x14ac:dyDescent="0.25">
      <c r="A1" s="7"/>
      <c r="C1" s="7"/>
      <c r="D1" s="7"/>
      <c r="E1" s="7"/>
      <c r="F1" s="7"/>
      <c r="G1" s="7"/>
      <c r="H1" s="7"/>
      <c r="I1" s="7"/>
      <c r="J1" s="1"/>
      <c r="K1" s="1"/>
      <c r="L1" s="1"/>
      <c r="M1" s="1"/>
      <c r="N1" s="1"/>
      <c r="O1" s="1"/>
      <c r="P1" s="1"/>
      <c r="Q1" s="1"/>
      <c r="R1" s="1"/>
      <c r="S1" s="217" t="s">
        <v>0</v>
      </c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</row>
    <row r="2" spans="1:61" ht="66.75" customHeight="1" x14ac:dyDescent="0.25">
      <c r="A2" s="10"/>
      <c r="B2" s="12" t="s">
        <v>7</v>
      </c>
      <c r="C2" s="19" t="s">
        <v>1</v>
      </c>
      <c r="D2" s="19" t="s">
        <v>2</v>
      </c>
      <c r="E2" s="19" t="s">
        <v>3</v>
      </c>
      <c r="F2" s="20" t="s">
        <v>8</v>
      </c>
      <c r="G2" s="19" t="s">
        <v>4</v>
      </c>
      <c r="H2" s="20" t="s">
        <v>5</v>
      </c>
      <c r="I2" s="18">
        <v>1</v>
      </c>
      <c r="J2" s="18">
        <v>2</v>
      </c>
      <c r="K2" s="18">
        <v>3</v>
      </c>
      <c r="L2" s="18">
        <v>4</v>
      </c>
      <c r="M2" s="18">
        <v>5</v>
      </c>
      <c r="N2" s="18">
        <v>6</v>
      </c>
      <c r="O2" s="18">
        <v>7</v>
      </c>
      <c r="P2" s="18">
        <v>8</v>
      </c>
      <c r="Q2" s="18">
        <v>9</v>
      </c>
      <c r="R2" s="18">
        <v>10</v>
      </c>
      <c r="S2" s="18">
        <v>11</v>
      </c>
      <c r="T2" s="18">
        <v>12</v>
      </c>
      <c r="U2" s="18">
        <v>13</v>
      </c>
      <c r="V2" s="18">
        <v>14</v>
      </c>
      <c r="W2" s="18">
        <v>15</v>
      </c>
      <c r="X2" s="18">
        <v>16</v>
      </c>
      <c r="Y2" s="18">
        <v>17</v>
      </c>
      <c r="Z2" s="18">
        <v>18</v>
      </c>
      <c r="AA2" s="18">
        <v>19</v>
      </c>
      <c r="AB2" s="18">
        <v>20</v>
      </c>
      <c r="AC2" s="18">
        <v>21</v>
      </c>
      <c r="AD2" s="18">
        <v>22</v>
      </c>
      <c r="AE2" s="18">
        <v>23</v>
      </c>
      <c r="AF2" s="18">
        <v>24</v>
      </c>
      <c r="AG2" s="18">
        <v>25</v>
      </c>
      <c r="AH2" s="18">
        <v>26</v>
      </c>
      <c r="AI2" s="18">
        <v>27</v>
      </c>
      <c r="AJ2" s="18">
        <v>28</v>
      </c>
      <c r="AK2" s="18">
        <v>29</v>
      </c>
      <c r="AL2" s="18">
        <v>30</v>
      </c>
      <c r="AM2" s="18">
        <v>31</v>
      </c>
      <c r="AN2" s="18">
        <v>32</v>
      </c>
      <c r="AO2" s="18">
        <v>33</v>
      </c>
      <c r="AP2" s="18">
        <v>34</v>
      </c>
      <c r="AQ2" s="18">
        <v>35</v>
      </c>
      <c r="AR2" s="18">
        <v>36</v>
      </c>
      <c r="AS2" s="18">
        <v>37</v>
      </c>
      <c r="AT2" s="18">
        <v>38</v>
      </c>
      <c r="AU2" s="18">
        <v>39</v>
      </c>
      <c r="AV2" s="18">
        <v>40</v>
      </c>
      <c r="AW2" s="18">
        <v>41</v>
      </c>
      <c r="AX2" s="18">
        <v>42</v>
      </c>
      <c r="AY2" s="14" t="s">
        <v>3</v>
      </c>
    </row>
    <row r="3" spans="1:61" ht="15" customHeight="1" x14ac:dyDescent="0.25">
      <c r="A3" s="10"/>
      <c r="B3" s="30" t="s">
        <v>9</v>
      </c>
      <c r="C3" s="19"/>
      <c r="D3" s="19"/>
      <c r="E3" s="19"/>
      <c r="F3" s="20"/>
      <c r="G3" s="19"/>
      <c r="H3" s="20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9"/>
      <c r="AY3" s="14"/>
    </row>
    <row r="4" spans="1:61" x14ac:dyDescent="0.25">
      <c r="A4" s="10">
        <v>1</v>
      </c>
      <c r="B4" s="13"/>
      <c r="C4" s="21"/>
      <c r="D4" s="21"/>
      <c r="E4" s="21"/>
      <c r="F4" s="31"/>
      <c r="G4" s="31"/>
      <c r="H4" s="31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5"/>
      <c r="AY4" s="10">
        <f>SUM(I4:AX4)</f>
        <v>0</v>
      </c>
    </row>
    <row r="5" spans="1:61" ht="15.75" thickBot="1" x14ac:dyDescent="0.3">
      <c r="A5" s="10">
        <v>2</v>
      </c>
      <c r="B5" s="32"/>
      <c r="C5" s="17"/>
      <c r="D5" s="17"/>
      <c r="E5" s="17"/>
      <c r="F5" s="33"/>
      <c r="G5" s="33"/>
      <c r="H5" s="3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10">
        <f>SUM(I5:AX5)</f>
        <v>0</v>
      </c>
    </row>
    <row r="6" spans="1:61" ht="15.75" thickBot="1" x14ac:dyDescent="0.3">
      <c r="A6" s="10">
        <v>3</v>
      </c>
      <c r="B6" s="34"/>
      <c r="C6" s="17"/>
      <c r="D6" s="17"/>
      <c r="E6" s="17"/>
      <c r="F6" s="35"/>
      <c r="G6" s="35"/>
      <c r="H6" s="35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0">
        <f>SUM(I6:AX6)</f>
        <v>0</v>
      </c>
    </row>
    <row r="7" spans="1:61" ht="15.75" thickBot="1" x14ac:dyDescent="0.3">
      <c r="A7" s="10">
        <v>4</v>
      </c>
      <c r="B7" s="36"/>
      <c r="C7" s="17"/>
      <c r="D7" s="17"/>
      <c r="E7" s="17"/>
      <c r="F7" s="33"/>
      <c r="G7" s="33"/>
      <c r="H7" s="33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3"/>
      <c r="V7" s="3"/>
      <c r="W7" s="3"/>
      <c r="X7" s="3"/>
      <c r="Y7" s="3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3"/>
      <c r="AV7" s="3"/>
      <c r="AW7" s="3"/>
      <c r="AX7" s="3"/>
      <c r="AY7" s="10">
        <f>SUM(Z7:AX7)</f>
        <v>0</v>
      </c>
    </row>
    <row r="8" spans="1:61" ht="15.75" thickBot="1" x14ac:dyDescent="0.3">
      <c r="A8" s="10">
        <v>5</v>
      </c>
      <c r="B8" s="32"/>
      <c r="C8" s="17"/>
      <c r="D8" s="18"/>
      <c r="E8" s="17"/>
      <c r="F8" s="35"/>
      <c r="G8" s="35"/>
      <c r="H8" s="35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3"/>
      <c r="V8" s="3"/>
      <c r="W8" s="3"/>
      <c r="X8" s="3"/>
      <c r="Y8" s="3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3"/>
      <c r="AV8" s="3"/>
      <c r="AW8" s="3"/>
      <c r="AX8" s="3"/>
      <c r="AY8" s="10">
        <f>SUM(I8:AX8)</f>
        <v>0</v>
      </c>
    </row>
    <row r="9" spans="1:61" ht="15.75" thickBot="1" x14ac:dyDescent="0.3">
      <c r="A9" s="10">
        <v>6</v>
      </c>
      <c r="B9" s="13"/>
      <c r="C9" s="17"/>
      <c r="D9" s="17"/>
      <c r="E9" s="17"/>
      <c r="F9" s="33"/>
      <c r="G9" s="33"/>
      <c r="H9" s="3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8"/>
      <c r="V9" s="8"/>
      <c r="W9" s="8"/>
      <c r="X9" s="8"/>
      <c r="Y9" s="8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8"/>
      <c r="AV9" s="8"/>
      <c r="AW9" s="3"/>
      <c r="AX9" s="3"/>
      <c r="AY9" s="10">
        <f>SUM(I9:AX9)</f>
        <v>0</v>
      </c>
    </row>
    <row r="10" spans="1:61" ht="15.75" thickBot="1" x14ac:dyDescent="0.3">
      <c r="A10" s="10"/>
      <c r="B10" s="13"/>
      <c r="C10" s="17"/>
      <c r="D10" s="17"/>
      <c r="E10" s="17"/>
      <c r="F10" s="33"/>
      <c r="G10" s="33"/>
      <c r="H10" s="33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8"/>
      <c r="V10" s="8"/>
      <c r="W10" s="8"/>
      <c r="X10" s="8"/>
      <c r="Y10" s="8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8"/>
      <c r="AV10" s="8"/>
      <c r="AW10" s="3"/>
      <c r="AX10" s="3"/>
      <c r="AY10" s="10"/>
    </row>
    <row r="11" spans="1:61" ht="19.5" customHeight="1" thickBot="1" x14ac:dyDescent="0.3">
      <c r="A11" s="10"/>
      <c r="B11" s="30"/>
      <c r="C11" s="17"/>
      <c r="D11" s="17"/>
      <c r="E11" s="17"/>
      <c r="F11" s="33"/>
      <c r="G11" s="33"/>
      <c r="H11" s="33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8"/>
      <c r="V11" s="8"/>
      <c r="W11" s="8"/>
      <c r="X11" s="8"/>
      <c r="Y11" s="8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8"/>
      <c r="AV11" s="8"/>
      <c r="AW11" s="3"/>
      <c r="AX11" s="3"/>
      <c r="AY11" s="10"/>
    </row>
    <row r="12" spans="1:61" ht="15.75" thickBot="1" x14ac:dyDescent="0.3">
      <c r="A12" s="10"/>
      <c r="B12" s="37"/>
      <c r="C12" s="17"/>
      <c r="D12" s="17"/>
      <c r="E12" s="17"/>
      <c r="F12" s="35"/>
      <c r="G12" s="35"/>
      <c r="H12" s="35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24"/>
      <c r="AU12" s="3"/>
      <c r="AV12" s="3"/>
      <c r="AW12" s="3"/>
      <c r="AX12" s="3"/>
      <c r="AY12" s="10">
        <f>SUM(I12:AX12)</f>
        <v>0</v>
      </c>
    </row>
    <row r="13" spans="1:61" ht="15.75" thickBot="1" x14ac:dyDescent="0.3">
      <c r="A13" s="10"/>
      <c r="B13" s="38"/>
      <c r="C13" s="17"/>
      <c r="D13" s="17"/>
      <c r="E13" s="17"/>
      <c r="F13" s="39"/>
      <c r="G13" s="40"/>
      <c r="H13" s="40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24"/>
      <c r="AU13" s="3"/>
      <c r="AV13" s="3"/>
      <c r="AW13" s="3"/>
      <c r="AX13" s="3"/>
      <c r="AY13" s="10">
        <f>SUM(I13:AX13)</f>
        <v>0</v>
      </c>
    </row>
    <row r="14" spans="1:61" ht="15.75" thickBot="1" x14ac:dyDescent="0.3">
      <c r="A14" s="10"/>
      <c r="B14" s="37"/>
      <c r="C14" s="17"/>
      <c r="D14" s="17"/>
      <c r="E14" s="17"/>
      <c r="F14" s="35"/>
      <c r="G14" s="35"/>
      <c r="H14" s="35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24"/>
      <c r="AU14" s="3"/>
      <c r="AV14" s="3"/>
      <c r="AW14" s="3"/>
      <c r="AX14" s="3"/>
      <c r="AY14" s="10">
        <f t="shared" ref="AY14:AY20" si="0">SUM(I14:AX14)</f>
        <v>0</v>
      </c>
    </row>
    <row r="15" spans="1:61" ht="15.75" thickBot="1" x14ac:dyDescent="0.3">
      <c r="A15" s="10"/>
      <c r="B15" s="41"/>
      <c r="C15" s="17"/>
      <c r="D15" s="17"/>
      <c r="E15" s="17"/>
      <c r="F15" s="35"/>
      <c r="G15" s="35"/>
      <c r="H15" s="35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6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24"/>
      <c r="AU15" s="3"/>
      <c r="AV15" s="3"/>
      <c r="AW15" s="3"/>
      <c r="AX15" s="3"/>
      <c r="AY15" s="10"/>
    </row>
    <row r="16" spans="1:61" ht="15.75" thickBot="1" x14ac:dyDescent="0.3">
      <c r="A16" s="10"/>
      <c r="B16" s="38"/>
      <c r="C16" s="17"/>
      <c r="D16" s="17"/>
      <c r="E16" s="17"/>
      <c r="F16" s="35"/>
      <c r="G16" s="35"/>
      <c r="H16" s="3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6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3"/>
      <c r="AX16" s="3"/>
      <c r="AY16" s="10">
        <f t="shared" si="0"/>
        <v>0</v>
      </c>
    </row>
    <row r="17" spans="1:51" ht="15.75" thickBot="1" x14ac:dyDescent="0.3">
      <c r="A17" s="10"/>
      <c r="B17" s="42"/>
      <c r="C17" s="17"/>
      <c r="D17" s="17"/>
      <c r="E17" s="17"/>
      <c r="F17" s="35"/>
      <c r="G17" s="35"/>
      <c r="H17" s="35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3"/>
      <c r="AX17" s="3"/>
      <c r="AY17" s="10">
        <f t="shared" si="0"/>
        <v>0</v>
      </c>
    </row>
    <row r="18" spans="1:51" ht="15.75" thickBot="1" x14ac:dyDescent="0.3">
      <c r="A18" s="10"/>
      <c r="B18" s="43"/>
      <c r="C18" s="17"/>
      <c r="D18" s="17"/>
      <c r="E18" s="17"/>
      <c r="F18" s="35"/>
      <c r="G18" s="35"/>
      <c r="H18" s="3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25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3"/>
      <c r="AY18" s="10">
        <f t="shared" si="0"/>
        <v>0</v>
      </c>
    </row>
    <row r="19" spans="1:51" ht="15.75" thickBot="1" x14ac:dyDescent="0.3">
      <c r="A19" s="10"/>
      <c r="B19" s="44"/>
      <c r="C19" s="17"/>
      <c r="D19" s="17"/>
      <c r="E19" s="17"/>
      <c r="F19" s="40"/>
      <c r="G19" s="35"/>
      <c r="H19" s="4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3"/>
      <c r="AX19" s="3"/>
      <c r="AY19" s="10">
        <f t="shared" si="0"/>
        <v>0</v>
      </c>
    </row>
    <row r="20" spans="1:51" ht="15.75" thickBot="1" x14ac:dyDescent="0.3">
      <c r="A20" s="10"/>
      <c r="B20" s="13"/>
      <c r="C20" s="17"/>
      <c r="D20" s="17"/>
      <c r="E20" s="17"/>
      <c r="F20" s="35"/>
      <c r="G20" s="35"/>
      <c r="H20" s="3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3"/>
      <c r="AV20" s="3"/>
      <c r="AW20" s="3"/>
      <c r="AX20" s="3"/>
      <c r="AY20" s="10">
        <f t="shared" si="0"/>
        <v>0</v>
      </c>
    </row>
    <row r="21" spans="1:51" x14ac:dyDescent="0.25">
      <c r="A21" s="10"/>
      <c r="B21" s="15"/>
      <c r="C21" s="15"/>
      <c r="D21" s="15"/>
      <c r="E21" s="15"/>
      <c r="F21" s="15"/>
      <c r="G21" s="15"/>
      <c r="H21" s="15"/>
      <c r="I21" s="2">
        <f t="shared" ref="I21:AS21" si="1">SUM(I4:I20)</f>
        <v>0</v>
      </c>
      <c r="J21" s="2">
        <f t="shared" si="1"/>
        <v>0</v>
      </c>
      <c r="K21" s="2">
        <f t="shared" si="1"/>
        <v>0</v>
      </c>
      <c r="L21" s="2">
        <f t="shared" si="1"/>
        <v>0</v>
      </c>
      <c r="M21" s="2">
        <f t="shared" si="1"/>
        <v>0</v>
      </c>
      <c r="N21" s="2">
        <f t="shared" si="1"/>
        <v>0</v>
      </c>
      <c r="O21" s="2">
        <f t="shared" si="1"/>
        <v>0</v>
      </c>
      <c r="P21" s="2">
        <f t="shared" si="1"/>
        <v>0</v>
      </c>
      <c r="Q21" s="2">
        <f t="shared" si="1"/>
        <v>0</v>
      </c>
      <c r="R21" s="2">
        <f t="shared" si="1"/>
        <v>0</v>
      </c>
      <c r="S21" s="2">
        <f t="shared" si="1"/>
        <v>0</v>
      </c>
      <c r="T21" s="4">
        <f t="shared" si="1"/>
        <v>0</v>
      </c>
      <c r="U21" s="2">
        <f t="shared" si="1"/>
        <v>0</v>
      </c>
      <c r="V21" s="2">
        <f t="shared" si="1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  <c r="Z21" s="2">
        <f t="shared" si="1"/>
        <v>0</v>
      </c>
      <c r="AA21" s="2">
        <f t="shared" si="1"/>
        <v>0</v>
      </c>
      <c r="AB21" s="9">
        <f t="shared" si="1"/>
        <v>0</v>
      </c>
      <c r="AC21" s="9">
        <f t="shared" si="1"/>
        <v>0</v>
      </c>
      <c r="AD21" s="2">
        <f t="shared" si="1"/>
        <v>0</v>
      </c>
      <c r="AE21" s="2">
        <f t="shared" si="1"/>
        <v>0</v>
      </c>
      <c r="AF21" s="2">
        <f t="shared" si="1"/>
        <v>0</v>
      </c>
      <c r="AG21" s="2">
        <f t="shared" si="1"/>
        <v>0</v>
      </c>
      <c r="AH21" s="2">
        <f t="shared" si="1"/>
        <v>0</v>
      </c>
      <c r="AI21" s="2">
        <f t="shared" si="1"/>
        <v>0</v>
      </c>
      <c r="AJ21" s="2">
        <f t="shared" si="1"/>
        <v>0</v>
      </c>
      <c r="AK21" s="2">
        <f t="shared" si="1"/>
        <v>0</v>
      </c>
      <c r="AL21" s="2">
        <f t="shared" si="1"/>
        <v>0</v>
      </c>
      <c r="AM21" s="2">
        <f t="shared" si="1"/>
        <v>0</v>
      </c>
      <c r="AN21" s="2">
        <f t="shared" si="1"/>
        <v>0</v>
      </c>
      <c r="AO21" s="2">
        <f t="shared" si="1"/>
        <v>0</v>
      </c>
      <c r="AP21" s="2">
        <f t="shared" si="1"/>
        <v>0</v>
      </c>
      <c r="AQ21" s="2">
        <f t="shared" si="1"/>
        <v>0</v>
      </c>
      <c r="AR21" s="2">
        <f t="shared" si="1"/>
        <v>0</v>
      </c>
      <c r="AS21" s="2">
        <f t="shared" si="1"/>
        <v>0</v>
      </c>
      <c r="AT21" s="2">
        <f t="shared" ref="AT21:AY21" si="2">SUM(AT4:AT20)</f>
        <v>0</v>
      </c>
      <c r="AU21" s="2">
        <f t="shared" si="2"/>
        <v>0</v>
      </c>
      <c r="AV21" s="2">
        <f t="shared" si="2"/>
        <v>0</v>
      </c>
      <c r="AW21" s="2">
        <f t="shared" si="2"/>
        <v>0</v>
      </c>
      <c r="AX21" s="2">
        <f t="shared" si="2"/>
        <v>0</v>
      </c>
      <c r="AY21" s="10">
        <f t="shared" si="2"/>
        <v>0</v>
      </c>
    </row>
    <row r="22" spans="1:51" x14ac:dyDescent="0.25">
      <c r="A22" s="27"/>
      <c r="B22" s="11" t="s">
        <v>6</v>
      </c>
      <c r="C22" s="10"/>
      <c r="D22" s="10"/>
      <c r="E22" s="16"/>
      <c r="F22" s="219"/>
      <c r="G22" s="219"/>
      <c r="H22" s="220"/>
      <c r="I22" s="45">
        <v>1</v>
      </c>
      <c r="J22" s="45">
        <v>2</v>
      </c>
      <c r="K22" s="45">
        <v>3</v>
      </c>
      <c r="L22" s="45">
        <v>4</v>
      </c>
      <c r="M22" s="45">
        <v>5</v>
      </c>
      <c r="N22" s="45">
        <v>6</v>
      </c>
      <c r="O22" s="45">
        <v>7</v>
      </c>
      <c r="P22" s="45">
        <v>8</v>
      </c>
      <c r="Q22" s="45">
        <v>9</v>
      </c>
      <c r="R22" s="45">
        <v>10</v>
      </c>
      <c r="S22" s="45">
        <v>11</v>
      </c>
      <c r="T22" s="45">
        <v>12</v>
      </c>
      <c r="U22" s="45">
        <v>13</v>
      </c>
      <c r="V22" s="45">
        <v>14</v>
      </c>
      <c r="W22" s="45">
        <v>15</v>
      </c>
      <c r="X22" s="45">
        <v>16</v>
      </c>
      <c r="Y22" s="45">
        <v>17</v>
      </c>
      <c r="Z22" s="45">
        <v>18</v>
      </c>
      <c r="AA22" s="45">
        <v>19</v>
      </c>
      <c r="AB22" s="45">
        <v>20</v>
      </c>
      <c r="AC22" s="45">
        <v>21</v>
      </c>
      <c r="AD22" s="45">
        <v>22</v>
      </c>
      <c r="AE22" s="45">
        <v>23</v>
      </c>
      <c r="AF22" s="45">
        <v>24</v>
      </c>
      <c r="AG22" s="45">
        <v>25</v>
      </c>
      <c r="AH22" s="45">
        <v>26</v>
      </c>
      <c r="AI22" s="45">
        <v>27</v>
      </c>
      <c r="AJ22" s="45">
        <v>28</v>
      </c>
      <c r="AK22" s="45">
        <v>29</v>
      </c>
      <c r="AL22" s="45">
        <v>30</v>
      </c>
      <c r="AM22" s="45">
        <v>31</v>
      </c>
      <c r="AN22" s="45">
        <v>32</v>
      </c>
      <c r="AO22" s="45">
        <v>33</v>
      </c>
      <c r="AP22" s="45">
        <v>34</v>
      </c>
      <c r="AQ22" s="45">
        <v>35</v>
      </c>
      <c r="AR22" s="45">
        <v>36</v>
      </c>
      <c r="AS22" s="45">
        <v>37</v>
      </c>
      <c r="AT22" s="45">
        <v>38</v>
      </c>
      <c r="AU22" s="45">
        <v>39</v>
      </c>
      <c r="AV22" s="45">
        <v>40</v>
      </c>
      <c r="AW22" s="45">
        <v>41</v>
      </c>
      <c r="AX22" s="45">
        <v>42</v>
      </c>
      <c r="AY22" s="28"/>
    </row>
    <row r="23" spans="1:51" x14ac:dyDescent="0.25">
      <c r="A23" s="6"/>
    </row>
    <row r="24" spans="1:51" x14ac:dyDescent="0.25">
      <c r="A24" s="7"/>
    </row>
    <row r="25" spans="1:51" x14ac:dyDescent="0.25">
      <c r="A25" s="7"/>
    </row>
  </sheetData>
  <mergeCells count="2">
    <mergeCell ref="S1:BI1"/>
    <mergeCell ref="F22:H2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2025-02-28T06:42:30Z</dcterms:modified>
</cp:coreProperties>
</file>